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k100000474-my.sharepoint.com/personal/corteacher_wonjumedi_gwe_hs_kr/Documents/바탕 화면/앱 제작/시간표교체/"/>
    </mc:Choice>
  </mc:AlternateContent>
  <xr:revisionPtr revIDLastSave="2" documentId="11_6C4AE623DE83C88CD9607D15AF3128891DF5C64E" xr6:coauthVersionLast="47" xr6:coauthVersionMax="47" xr10:uidLastSave="{C3E68607-0CED-4A60-8643-C417F7187660}"/>
  <bookViews>
    <workbookView xWindow="-120" yWindow="-120" windowWidth="29040" windowHeight="15720" xr2:uid="{00000000-000D-0000-FFFF-FFFF00000000}"/>
  </bookViews>
  <sheets>
    <sheet name="명렬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PJY2WO+KgUdQj0++4ZKLL68Nw3EG5ASFEnA/xLNtMbw="/>
    </ext>
  </extLst>
</workbook>
</file>

<file path=xl/calcChain.xml><?xml version="1.0" encoding="utf-8"?>
<calcChain xmlns="http://schemas.openxmlformats.org/spreadsheetml/2006/main">
  <c r="AD60" i="1" l="1"/>
  <c r="AB60" i="1"/>
  <c r="Y60" i="1"/>
  <c r="W60" i="1"/>
  <c r="T60" i="1"/>
  <c r="R60" i="1"/>
  <c r="O60" i="1"/>
  <c r="M60" i="1"/>
  <c r="J60" i="1"/>
  <c r="H60" i="1"/>
  <c r="E60" i="1"/>
  <c r="AF60" i="1" s="1"/>
  <c r="C60" i="1"/>
  <c r="AE60" i="1" s="1"/>
  <c r="AG60" i="1" s="1"/>
  <c r="AD40" i="1"/>
  <c r="AB40" i="1"/>
  <c r="Y40" i="1"/>
  <c r="W40" i="1"/>
  <c r="T40" i="1"/>
  <c r="R40" i="1"/>
  <c r="O40" i="1"/>
  <c r="M40" i="1"/>
  <c r="J40" i="1"/>
  <c r="H40" i="1"/>
  <c r="E40" i="1"/>
  <c r="AF40" i="1" s="1"/>
  <c r="C40" i="1"/>
  <c r="AE40" i="1" s="1"/>
  <c r="AG40" i="1" s="1"/>
  <c r="AD21" i="1"/>
  <c r="AB21" i="1"/>
  <c r="Y21" i="1"/>
  <c r="W21" i="1"/>
  <c r="T21" i="1"/>
  <c r="R21" i="1"/>
  <c r="O21" i="1"/>
  <c r="M21" i="1"/>
  <c r="J21" i="1"/>
  <c r="H21" i="1"/>
  <c r="E21" i="1"/>
  <c r="AF21" i="1" s="1"/>
  <c r="AF61" i="1" s="1"/>
  <c r="C21" i="1"/>
  <c r="AE21" i="1" s="1"/>
  <c r="AE61" i="1" l="1"/>
  <c r="AG21" i="1"/>
  <c r="AG61" i="1" s="1"/>
</calcChain>
</file>

<file path=xl/sharedStrings.xml><?xml version="1.0" encoding="utf-8"?>
<sst xmlns="http://schemas.openxmlformats.org/spreadsheetml/2006/main" count="654" uniqueCount="282">
  <si>
    <t>2026년도 전체 학생 명렬표</t>
  </si>
  <si>
    <t>의료기계 1-1</t>
  </si>
  <si>
    <t>의료기계 1-2</t>
  </si>
  <si>
    <t>의료전기전자1-1</t>
  </si>
  <si>
    <t>의료전기전자1-2</t>
  </si>
  <si>
    <t>바이오의약1-1</t>
  </si>
  <si>
    <t>바이오의약1-2</t>
  </si>
  <si>
    <t>번호</t>
  </si>
  <si>
    <t>성명</t>
  </si>
  <si>
    <t>성별</t>
  </si>
  <si>
    <t>비고</t>
  </si>
  <si>
    <t>-</t>
  </si>
  <si>
    <t>구도연</t>
  </si>
  <si>
    <t>여</t>
  </si>
  <si>
    <t>권영은</t>
  </si>
  <si>
    <t>강승규</t>
  </si>
  <si>
    <t>권민서</t>
  </si>
  <si>
    <t>권하비</t>
  </si>
  <si>
    <t>김예진</t>
  </si>
  <si>
    <t>김남준</t>
  </si>
  <si>
    <t>김주남</t>
  </si>
  <si>
    <t>김동호</t>
  </si>
  <si>
    <t>김리원</t>
  </si>
  <si>
    <t>김별이</t>
  </si>
  <si>
    <t>김종문</t>
  </si>
  <si>
    <t>김민준</t>
  </si>
  <si>
    <t>김초인</t>
  </si>
  <si>
    <t>김민찬</t>
  </si>
  <si>
    <t>김유라</t>
  </si>
  <si>
    <t>김보람</t>
  </si>
  <si>
    <t>김종혁</t>
  </si>
  <si>
    <t>김호현</t>
  </si>
  <si>
    <t>김현호</t>
  </si>
  <si>
    <t>김지호</t>
  </si>
  <si>
    <t>손지민</t>
  </si>
  <si>
    <t>김서현</t>
  </si>
  <si>
    <t>김하민</t>
  </si>
  <si>
    <t>민강희</t>
  </si>
  <si>
    <t>박민서</t>
  </si>
  <si>
    <t>박근솔</t>
  </si>
  <si>
    <t>신명근</t>
  </si>
  <si>
    <t>도연후</t>
  </si>
  <si>
    <t>박대건</t>
  </si>
  <si>
    <t>박성은</t>
  </si>
  <si>
    <t>박범</t>
  </si>
  <si>
    <t>박지오</t>
  </si>
  <si>
    <t>오민성</t>
  </si>
  <si>
    <t>문수인</t>
  </si>
  <si>
    <t>박정호</t>
  </si>
  <si>
    <t>이강민</t>
  </si>
  <si>
    <t>박서빈</t>
  </si>
  <si>
    <t>오지한</t>
  </si>
  <si>
    <t>유다연</t>
  </si>
  <si>
    <t>민수현</t>
  </si>
  <si>
    <t>이승민</t>
  </si>
  <si>
    <t>이동현</t>
  </si>
  <si>
    <t>박소정</t>
  </si>
  <si>
    <t>이성아</t>
  </si>
  <si>
    <t>윤지원</t>
  </si>
  <si>
    <t>박은옥</t>
  </si>
  <si>
    <t>이태종</t>
  </si>
  <si>
    <t>이루인</t>
  </si>
  <si>
    <t>박연우</t>
  </si>
  <si>
    <t>이수연</t>
  </si>
  <si>
    <t>이수민</t>
  </si>
  <si>
    <t>배소윤</t>
  </si>
  <si>
    <t>임도윤</t>
  </si>
  <si>
    <t>이현아</t>
  </si>
  <si>
    <t>박우영</t>
  </si>
  <si>
    <t>임채민</t>
  </si>
  <si>
    <t>이아연</t>
  </si>
  <si>
    <t>이혁준</t>
  </si>
  <si>
    <t>임연후</t>
  </si>
  <si>
    <t>임지율</t>
  </si>
  <si>
    <t>안효서</t>
  </si>
  <si>
    <t>전영태</t>
  </si>
  <si>
    <t>장서연</t>
  </si>
  <si>
    <t>장동주</t>
  </si>
  <si>
    <t>정재원</t>
  </si>
  <si>
    <t>정재영</t>
  </si>
  <si>
    <t>오지훈</t>
  </si>
  <si>
    <t>전지훈</t>
  </si>
  <si>
    <t>최우진</t>
  </si>
  <si>
    <t>전민지</t>
  </si>
  <si>
    <t>조민우</t>
  </si>
  <si>
    <t>조성환</t>
  </si>
  <si>
    <t>이성현</t>
  </si>
  <si>
    <t>정의현</t>
  </si>
  <si>
    <t>최지은</t>
  </si>
  <si>
    <t>정하음</t>
  </si>
  <si>
    <t>주준규</t>
  </si>
  <si>
    <t>최수인</t>
  </si>
  <si>
    <t>정지호</t>
  </si>
  <si>
    <t>주시연</t>
  </si>
  <si>
    <t>한소희</t>
  </si>
  <si>
    <t>지연우</t>
  </si>
  <si>
    <t>천지은</t>
  </si>
  <si>
    <t>최시후</t>
  </si>
  <si>
    <t>한태호</t>
  </si>
  <si>
    <t>최예성</t>
  </si>
  <si>
    <t>한수현</t>
  </si>
  <si>
    <t>탁건모</t>
  </si>
  <si>
    <t>최가빈</t>
  </si>
  <si>
    <t>최재원</t>
  </si>
  <si>
    <t>홍시우</t>
  </si>
  <si>
    <t>황동건</t>
  </si>
  <si>
    <t>황지유</t>
  </si>
  <si>
    <t>황금</t>
  </si>
  <si>
    <t>남</t>
  </si>
  <si>
    <t>합계</t>
  </si>
  <si>
    <t>의료기계 2-1</t>
  </si>
  <si>
    <t>의료기계 2-2</t>
  </si>
  <si>
    <t>의료전기전자2-1</t>
  </si>
  <si>
    <t>의료전기전자2-2</t>
  </si>
  <si>
    <t>바이오의약2-1</t>
  </si>
  <si>
    <t>바이오의약2-2</t>
  </si>
  <si>
    <t>김국기</t>
  </si>
  <si>
    <t>김건흥</t>
  </si>
  <si>
    <t>김돋움</t>
  </si>
  <si>
    <t>강시윤</t>
  </si>
  <si>
    <t>고다혜</t>
  </si>
  <si>
    <t>김은호</t>
  </si>
  <si>
    <t>김성진</t>
  </si>
  <si>
    <t>김성민</t>
  </si>
  <si>
    <t>김다인</t>
  </si>
  <si>
    <t>곽민우</t>
  </si>
  <si>
    <t>김지윤</t>
  </si>
  <si>
    <t>김송현</t>
  </si>
  <si>
    <t>변승준</t>
  </si>
  <si>
    <t>김주찬</t>
  </si>
  <si>
    <t>김미나</t>
  </si>
  <si>
    <t>김가연</t>
  </si>
  <si>
    <t>김희재</t>
  </si>
  <si>
    <t>김태우</t>
  </si>
  <si>
    <t>이규빈</t>
  </si>
  <si>
    <t>김준의</t>
  </si>
  <si>
    <t>김민서</t>
  </si>
  <si>
    <t>김종석</t>
  </si>
  <si>
    <t>노지율</t>
  </si>
  <si>
    <t>김희송</t>
  </si>
  <si>
    <t>이성빈</t>
  </si>
  <si>
    <t>김환희</t>
  </si>
  <si>
    <t>김예담</t>
  </si>
  <si>
    <t>김찬의</t>
  </si>
  <si>
    <t>민채원</t>
  </si>
  <si>
    <t>박진우</t>
  </si>
  <si>
    <t>박지원</t>
  </si>
  <si>
    <t>김윤화</t>
  </si>
  <si>
    <t>반이안</t>
  </si>
  <si>
    <t>신영채</t>
  </si>
  <si>
    <t>박태연</t>
  </si>
  <si>
    <t>이윤아</t>
  </si>
  <si>
    <t>박혜원</t>
  </si>
  <si>
    <t>김이삭</t>
  </si>
  <si>
    <t>이미소</t>
  </si>
  <si>
    <t>이윤기</t>
  </si>
  <si>
    <t>신다희</t>
  </si>
  <si>
    <t>이재우</t>
  </si>
  <si>
    <t>송시원</t>
  </si>
  <si>
    <t>김종현</t>
  </si>
  <si>
    <t>이소윤</t>
  </si>
  <si>
    <t>이은주</t>
  </si>
  <si>
    <t>원종헌</t>
  </si>
  <si>
    <t>이주운</t>
  </si>
  <si>
    <t>심선보</t>
  </si>
  <si>
    <t>박시우</t>
  </si>
  <si>
    <t>이태경</t>
  </si>
  <si>
    <t>이지안</t>
  </si>
  <si>
    <t>이영식</t>
  </si>
  <si>
    <t>임연우</t>
  </si>
  <si>
    <t>이남연</t>
  </si>
  <si>
    <t>박유준</t>
  </si>
  <si>
    <t>임은우</t>
  </si>
  <si>
    <t>이현준</t>
  </si>
  <si>
    <t>이유민</t>
  </si>
  <si>
    <t>조예준</t>
  </si>
  <si>
    <t>임채우</t>
  </si>
  <si>
    <t>손가온</t>
  </si>
  <si>
    <t>조예린</t>
  </si>
  <si>
    <t>정하윤</t>
  </si>
  <si>
    <t>장현지</t>
  </si>
  <si>
    <t>최태우</t>
  </si>
  <si>
    <t>장동현</t>
  </si>
  <si>
    <t>이민재</t>
  </si>
  <si>
    <t>조윤채</t>
  </si>
  <si>
    <t>천동명</t>
  </si>
  <si>
    <t>최소윤</t>
  </si>
  <si>
    <t>허서연</t>
  </si>
  <si>
    <t>장예나</t>
  </si>
  <si>
    <t>이정윤</t>
  </si>
  <si>
    <t>황연아</t>
  </si>
  <si>
    <t>황지후</t>
  </si>
  <si>
    <t>최승연</t>
  </si>
  <si>
    <t>정상준</t>
  </si>
  <si>
    <t>허정백</t>
  </si>
  <si>
    <t>홍성빈</t>
  </si>
  <si>
    <t>의료기계 3-1</t>
  </si>
  <si>
    <t>의료기계 3-2</t>
  </si>
  <si>
    <t>의료전기전자 3-1</t>
  </si>
  <si>
    <t>의료전기전자 3-2</t>
  </si>
  <si>
    <t>바이오의약3-1</t>
  </si>
  <si>
    <t>바이오의약3-2</t>
  </si>
  <si>
    <t>김성직</t>
  </si>
  <si>
    <t>곽성순</t>
  </si>
  <si>
    <t>고건</t>
  </si>
  <si>
    <t>강석현</t>
  </si>
  <si>
    <t>강다경</t>
  </si>
  <si>
    <t>김나영</t>
  </si>
  <si>
    <t>김재형</t>
  </si>
  <si>
    <t>김강찬</t>
  </si>
  <si>
    <t>김경모</t>
  </si>
  <si>
    <t>강주혁</t>
  </si>
  <si>
    <t>김유림</t>
  </si>
  <si>
    <t>김유현</t>
  </si>
  <si>
    <t>김정숙</t>
  </si>
  <si>
    <t>변상욱</t>
  </si>
  <si>
    <t>김수현</t>
  </si>
  <si>
    <t>김기연</t>
  </si>
  <si>
    <t>박건우</t>
  </si>
  <si>
    <t>민은서</t>
  </si>
  <si>
    <t>김준석</t>
  </si>
  <si>
    <t>염현식</t>
  </si>
  <si>
    <t>민승기</t>
  </si>
  <si>
    <t>김민재</t>
  </si>
  <si>
    <t>신유건</t>
  </si>
  <si>
    <t>박승현</t>
  </si>
  <si>
    <t>박미소</t>
  </si>
  <si>
    <t>이주찬</t>
  </si>
  <si>
    <t>박명희</t>
  </si>
  <si>
    <t>김영준</t>
  </si>
  <si>
    <t>심수인</t>
  </si>
  <si>
    <t>심다은</t>
  </si>
  <si>
    <t>신정우</t>
  </si>
  <si>
    <t>이준</t>
  </si>
  <si>
    <t>박영채</t>
  </si>
  <si>
    <t>신재은</t>
  </si>
  <si>
    <t>유솔</t>
  </si>
  <si>
    <t>이규현</t>
  </si>
  <si>
    <t>오정민</t>
  </si>
  <si>
    <t>이하은</t>
  </si>
  <si>
    <t>박찬진</t>
  </si>
  <si>
    <t>오태윤</t>
  </si>
  <si>
    <t>우진석</t>
  </si>
  <si>
    <t>이한욱</t>
  </si>
  <si>
    <t>박한빈</t>
  </si>
  <si>
    <t>원준빈</t>
  </si>
  <si>
    <t>이원준</t>
  </si>
  <si>
    <t>이승희</t>
  </si>
  <si>
    <t>유혁</t>
  </si>
  <si>
    <t>임지후</t>
  </si>
  <si>
    <t>오채환</t>
  </si>
  <si>
    <t>전건우</t>
  </si>
  <si>
    <t>이한빈</t>
  </si>
  <si>
    <t>이시현</t>
  </si>
  <si>
    <t>윤모현</t>
  </si>
  <si>
    <t>전우현</t>
  </si>
  <si>
    <t>이안</t>
  </si>
  <si>
    <t>전찬국</t>
  </si>
  <si>
    <t>임채원</t>
  </si>
  <si>
    <t>이현성</t>
  </si>
  <si>
    <t>이상헌</t>
  </si>
  <si>
    <t>정소은</t>
  </si>
  <si>
    <t>이주원</t>
  </si>
  <si>
    <t>정승원</t>
  </si>
  <si>
    <t>한주희</t>
  </si>
  <si>
    <t>정하빈</t>
  </si>
  <si>
    <t>이준규</t>
  </si>
  <si>
    <t>최시훈</t>
  </si>
  <si>
    <t>장현서</t>
  </si>
  <si>
    <t>정희찬</t>
  </si>
  <si>
    <t>허흥기</t>
  </si>
  <si>
    <t>최은채</t>
  </si>
  <si>
    <t>최경환</t>
  </si>
  <si>
    <t>홍명기</t>
  </si>
  <si>
    <t>최형원</t>
  </si>
  <si>
    <t>조혜미</t>
  </si>
  <si>
    <t>황어진</t>
  </si>
  <si>
    <t>함태유</t>
  </si>
  <si>
    <t>허강은</t>
  </si>
  <si>
    <t>진윤수</t>
  </si>
  <si>
    <t>천시원</t>
  </si>
  <si>
    <t>김문석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</si>
</sst>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000\-0000000"/>
    <numFmt numFmtId="177" formatCode="&quot;21-&quot;000"/>
    <numFmt numFmtId="178" formatCode="&quot;11-&quot;000"/>
  </numFmts>
  <fonts count="10">
    <font>
      <sz val="11"/>
      <color rgb="FF000000"/>
      <name val="Calibri"/>
      <scheme val="minor"/>
    </font>
    <font>
      <sz val="10"/>
      <color rgb="FF000000"/>
      <name val="Dotum"/>
      <family val="3"/>
      <charset val="129"/>
    </font>
    <font>
      <b/>
      <sz val="11"/>
      <color rgb="FF000000"/>
      <name val="Dotum"/>
      <family val="3"/>
      <charset val="129"/>
    </font>
    <font>
      <b/>
      <sz val="10"/>
      <color rgb="FF000000"/>
      <name val="Dotum"/>
      <family val="3"/>
      <charset val="129"/>
    </font>
    <font>
      <sz val="11"/>
      <name val="Calibri"/>
    </font>
    <font>
      <sz val="10"/>
      <color rgb="FF000000"/>
      <name val="Malgun Gothic"/>
      <family val="3"/>
      <charset val="129"/>
    </font>
    <font>
      <sz val="10"/>
      <color rgb="FFA6A6A6"/>
      <name val="Dotum"/>
      <family val="3"/>
      <charset val="129"/>
    </font>
    <font>
      <sz val="10"/>
      <color rgb="FFFF0000"/>
      <name val="Dotum"/>
      <family val="3"/>
      <charset val="129"/>
    </font>
    <font>
      <sz val="10"/>
      <color rgb="FFFF0000"/>
      <name val="Malgun Gothic"/>
      <family val="3"/>
      <charset val="129"/>
    </font>
    <font>
      <sz val="8"/>
      <name val="Calibri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DD9C3"/>
        <bgColor rgb="FFDDD9C3"/>
      </patternFill>
    </fill>
    <fill>
      <patternFill patternType="solid">
        <fgColor rgb="FFFFFFFF"/>
        <bgColor rgb="FFFFFFFF"/>
      </patternFill>
    </fill>
    <fill>
      <patternFill patternType="solid">
        <fgColor rgb="FFF3DCDB"/>
        <bgColor rgb="FFF3DCDB"/>
      </patternFill>
    </fill>
    <fill>
      <patternFill patternType="solid">
        <fgColor rgb="FFDBEEF3"/>
        <bgColor rgb="FFDBEEF3"/>
      </patternFill>
    </fill>
    <fill>
      <patternFill patternType="solid">
        <fgColor rgb="FFC6DAF1"/>
        <bgColor rgb="FFC6DAF1"/>
      </patternFill>
    </fill>
    <fill>
      <patternFill patternType="solid">
        <fgColor rgb="FFF79646"/>
        <bgColor rgb="FFF79646"/>
      </patternFill>
    </fill>
  </fills>
  <borders count="3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3" borderId="4" xfId="0" applyFont="1" applyFill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vertical="center" shrinkToFit="1"/>
    </xf>
    <xf numFmtId="0" fontId="5" fillId="3" borderId="5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shrinkToFit="1"/>
    </xf>
    <xf numFmtId="0" fontId="1" fillId="3" borderId="4" xfId="0" applyFont="1" applyFill="1" applyBorder="1" applyAlignment="1">
      <alignment horizontal="center" vertical="center" shrinkToFit="1"/>
    </xf>
    <xf numFmtId="0" fontId="6" fillId="3" borderId="7" xfId="0" applyFont="1" applyFill="1" applyBorder="1" applyAlignment="1">
      <alignment horizontal="center" vertical="center" shrinkToFit="1"/>
    </xf>
    <xf numFmtId="176" fontId="5" fillId="0" borderId="6" xfId="0" applyNumberFormat="1" applyFont="1" applyBorder="1" applyAlignment="1">
      <alignment horizontal="center" vertical="center" shrinkToFit="1"/>
    </xf>
    <xf numFmtId="177" fontId="5" fillId="0" borderId="6" xfId="0" applyNumberFormat="1" applyFont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178" fontId="5" fillId="0" borderId="6" xfId="0" applyNumberFormat="1" applyFont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shrinkToFit="1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 shrinkToFit="1"/>
    </xf>
    <xf numFmtId="176" fontId="5" fillId="0" borderId="13" xfId="0" applyNumberFormat="1" applyFont="1" applyBorder="1" applyAlignment="1">
      <alignment horizontal="center" vertical="center" shrinkToFit="1"/>
    </xf>
    <xf numFmtId="0" fontId="1" fillId="6" borderId="4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shrinkToFit="1"/>
    </xf>
    <xf numFmtId="0" fontId="1" fillId="6" borderId="18" xfId="0" applyFont="1" applyFill="1" applyBorder="1" applyAlignment="1">
      <alignment horizontal="center" vertical="center"/>
    </xf>
    <xf numFmtId="0" fontId="1" fillId="0" borderId="0" xfId="0" applyFont="1" applyAlignment="1">
      <alignment vertical="center" shrinkToFit="1"/>
    </xf>
    <xf numFmtId="0" fontId="1" fillId="0" borderId="19" xfId="0" applyFont="1" applyBorder="1" applyAlignment="1">
      <alignment horizontal="center" vertical="center" shrinkToFit="1"/>
    </xf>
    <xf numFmtId="0" fontId="5" fillId="3" borderId="7" xfId="0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 vertical="center" shrinkToFit="1"/>
    </xf>
    <xf numFmtId="49" fontId="5" fillId="0" borderId="7" xfId="0" applyNumberFormat="1" applyFont="1" applyBorder="1" applyAlignment="1">
      <alignment horizontal="center" vertical="center" shrinkToFit="1"/>
    </xf>
    <xf numFmtId="0" fontId="8" fillId="3" borderId="7" xfId="0" applyFont="1" applyFill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shrinkToFit="1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" fillId="7" borderId="27" xfId="0" applyFont="1" applyFill="1" applyBorder="1" applyAlignment="1">
      <alignment horizontal="center" vertical="center"/>
    </xf>
    <xf numFmtId="0" fontId="1" fillId="7" borderId="28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shrinkToFit="1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4" borderId="1" xfId="0" applyFont="1" applyFill="1" applyBorder="1" applyAlignment="1">
      <alignment horizontal="center" vertical="center" shrinkToFit="1"/>
    </xf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46C0A"/>
    <pageSetUpPr fitToPage="1"/>
  </sheetPr>
  <dimension ref="A1:BA1000"/>
  <sheetViews>
    <sheetView tabSelected="1" topLeftCell="A4" workbookViewId="0">
      <selection activeCell="AM28" sqref="AM28"/>
    </sheetView>
  </sheetViews>
  <sheetFormatPr defaultColWidth="14.42578125" defaultRowHeight="15" customHeight="1"/>
  <cols>
    <col min="1" max="1" width="1.85546875" customWidth="1"/>
    <col min="2" max="2" width="2.85546875" customWidth="1"/>
    <col min="3" max="3" width="5.85546875" customWidth="1"/>
    <col min="4" max="4" width="2.85546875" customWidth="1"/>
    <col min="5" max="5" width="4.85546875" customWidth="1"/>
    <col min="6" max="6" width="0.85546875" customWidth="1"/>
    <col min="7" max="7" width="2.85546875" customWidth="1"/>
    <col min="8" max="8" width="5.85546875" customWidth="1"/>
    <col min="9" max="9" width="2.85546875" customWidth="1"/>
    <col min="10" max="10" width="4.85546875" customWidth="1"/>
    <col min="11" max="11" width="0.85546875" customWidth="1"/>
    <col min="12" max="12" width="2.85546875" customWidth="1"/>
    <col min="13" max="13" width="5.85546875" customWidth="1"/>
    <col min="14" max="14" width="2.85546875" customWidth="1"/>
    <col min="15" max="15" width="4.85546875" customWidth="1"/>
    <col min="16" max="16" width="0.85546875" customWidth="1"/>
    <col min="17" max="17" width="2.85546875" customWidth="1"/>
    <col min="18" max="18" width="5.85546875" customWidth="1"/>
    <col min="19" max="19" width="2.85546875" customWidth="1"/>
    <col min="20" max="20" width="4.85546875" customWidth="1"/>
    <col min="21" max="21" width="0.85546875" customWidth="1"/>
    <col min="22" max="22" width="2.85546875" customWidth="1"/>
    <col min="23" max="23" width="5.85546875" customWidth="1"/>
    <col min="24" max="24" width="2.85546875" customWidth="1"/>
    <col min="25" max="25" width="4.85546875" customWidth="1"/>
    <col min="26" max="26" width="0.85546875" customWidth="1"/>
    <col min="27" max="27" width="2.85546875" customWidth="1"/>
    <col min="28" max="28" width="5.85546875" customWidth="1"/>
    <col min="29" max="29" width="2.85546875" customWidth="1"/>
    <col min="30" max="30" width="4.85546875" customWidth="1"/>
    <col min="31" max="33" width="6.140625" customWidth="1"/>
    <col min="34" max="53" width="8.85546875" customWidth="1"/>
  </cols>
  <sheetData>
    <row r="1" spans="1:53" ht="24" customHeight="1">
      <c r="A1" s="1"/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2"/>
      <c r="AF1" s="2"/>
      <c r="AG1" s="2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ht="12.75" customHeight="1">
      <c r="A2" s="1"/>
      <c r="B2" s="61" t="s">
        <v>1</v>
      </c>
      <c r="C2" s="59"/>
      <c r="D2" s="59"/>
      <c r="E2" s="60"/>
      <c r="F2" s="3"/>
      <c r="G2" s="61" t="s">
        <v>2</v>
      </c>
      <c r="H2" s="59"/>
      <c r="I2" s="59"/>
      <c r="J2" s="60"/>
      <c r="K2" s="3"/>
      <c r="L2" s="62" t="s">
        <v>3</v>
      </c>
      <c r="M2" s="59"/>
      <c r="N2" s="59"/>
      <c r="O2" s="60"/>
      <c r="P2" s="3"/>
      <c r="Q2" s="62" t="s">
        <v>4</v>
      </c>
      <c r="R2" s="59"/>
      <c r="S2" s="59"/>
      <c r="T2" s="60"/>
      <c r="U2" s="3"/>
      <c r="V2" s="58" t="s">
        <v>5</v>
      </c>
      <c r="W2" s="59"/>
      <c r="X2" s="59"/>
      <c r="Y2" s="60"/>
      <c r="Z2" s="3"/>
      <c r="AA2" s="58" t="s">
        <v>6</v>
      </c>
      <c r="AB2" s="59"/>
      <c r="AC2" s="59"/>
      <c r="AD2" s="60"/>
      <c r="AE2" s="2"/>
      <c r="AF2" s="2"/>
      <c r="AG2" s="2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ht="12.75" customHeight="1">
      <c r="A3" s="1"/>
      <c r="B3" s="4" t="s">
        <v>7</v>
      </c>
      <c r="C3" s="5" t="s">
        <v>8</v>
      </c>
      <c r="D3" s="5" t="s">
        <v>9</v>
      </c>
      <c r="E3" s="6" t="s">
        <v>10</v>
      </c>
      <c r="F3" s="7"/>
      <c r="G3" s="4" t="s">
        <v>7</v>
      </c>
      <c r="H3" s="5" t="s">
        <v>8</v>
      </c>
      <c r="I3" s="5" t="s">
        <v>9</v>
      </c>
      <c r="J3" s="6" t="s">
        <v>10</v>
      </c>
      <c r="K3" s="7"/>
      <c r="L3" s="4" t="s">
        <v>7</v>
      </c>
      <c r="M3" s="5" t="s">
        <v>8</v>
      </c>
      <c r="N3" s="5" t="s">
        <v>9</v>
      </c>
      <c r="O3" s="6" t="s">
        <v>10</v>
      </c>
      <c r="P3" s="7"/>
      <c r="Q3" s="4" t="s">
        <v>7</v>
      </c>
      <c r="R3" s="5" t="s">
        <v>8</v>
      </c>
      <c r="S3" s="5" t="s">
        <v>9</v>
      </c>
      <c r="T3" s="6" t="s">
        <v>10</v>
      </c>
      <c r="U3" s="7"/>
      <c r="V3" s="4" t="s">
        <v>7</v>
      </c>
      <c r="W3" s="5" t="s">
        <v>8</v>
      </c>
      <c r="X3" s="5" t="s">
        <v>9</v>
      </c>
      <c r="Y3" s="6" t="s">
        <v>10</v>
      </c>
      <c r="Z3" s="7"/>
      <c r="AA3" s="4" t="s">
        <v>7</v>
      </c>
      <c r="AB3" s="5" t="s">
        <v>8</v>
      </c>
      <c r="AC3" s="5" t="s">
        <v>9</v>
      </c>
      <c r="AD3" s="6" t="s">
        <v>10</v>
      </c>
      <c r="AE3" s="2"/>
      <c r="AF3" s="2"/>
      <c r="AG3" s="2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ht="12.75" customHeight="1">
      <c r="A4" s="2"/>
      <c r="B4" s="8">
        <v>1</v>
      </c>
      <c r="C4" s="9" t="s">
        <v>281</v>
      </c>
      <c r="D4" s="10" t="s">
        <v>11</v>
      </c>
      <c r="E4" s="11"/>
      <c r="F4" s="12"/>
      <c r="G4" s="8">
        <v>1</v>
      </c>
      <c r="H4" s="9" t="s">
        <v>12</v>
      </c>
      <c r="I4" s="10" t="s">
        <v>13</v>
      </c>
      <c r="J4" s="11"/>
      <c r="K4" s="12"/>
      <c r="L4" s="8">
        <v>1</v>
      </c>
      <c r="M4" s="9" t="s">
        <v>14</v>
      </c>
      <c r="N4" s="10" t="s">
        <v>13</v>
      </c>
      <c r="O4" s="11"/>
      <c r="P4" s="12"/>
      <c r="Q4" s="8">
        <v>1</v>
      </c>
      <c r="R4" s="9" t="s">
        <v>15</v>
      </c>
      <c r="S4" s="10" t="s">
        <v>11</v>
      </c>
      <c r="T4" s="13"/>
      <c r="U4" s="12"/>
      <c r="V4" s="8">
        <v>1</v>
      </c>
      <c r="W4" s="9" t="s">
        <v>16</v>
      </c>
      <c r="X4" s="14" t="s">
        <v>13</v>
      </c>
      <c r="Y4" s="11"/>
      <c r="Z4" s="12"/>
      <c r="AA4" s="8">
        <v>1</v>
      </c>
      <c r="AB4" s="9" t="s">
        <v>17</v>
      </c>
      <c r="AC4" s="14" t="s">
        <v>13</v>
      </c>
      <c r="AD4" s="11"/>
      <c r="AE4" s="2"/>
      <c r="AF4" s="2"/>
      <c r="AG4" s="2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ht="12.75" customHeight="1">
      <c r="A5" s="2"/>
      <c r="B5" s="8">
        <v>2</v>
      </c>
      <c r="C5" s="9" t="s">
        <v>18</v>
      </c>
      <c r="D5" s="10" t="s">
        <v>13</v>
      </c>
      <c r="E5" s="11"/>
      <c r="F5" s="12"/>
      <c r="G5" s="8">
        <v>2</v>
      </c>
      <c r="H5" s="9" t="s">
        <v>19</v>
      </c>
      <c r="I5" s="10" t="s">
        <v>11</v>
      </c>
      <c r="J5" s="11"/>
      <c r="K5" s="12"/>
      <c r="L5" s="8">
        <v>2</v>
      </c>
      <c r="M5" s="9" t="s">
        <v>20</v>
      </c>
      <c r="N5" s="10" t="s">
        <v>11</v>
      </c>
      <c r="O5" s="13"/>
      <c r="P5" s="12"/>
      <c r="Q5" s="8">
        <v>2</v>
      </c>
      <c r="R5" s="9" t="s">
        <v>21</v>
      </c>
      <c r="S5" s="10" t="s">
        <v>11</v>
      </c>
      <c r="T5" s="11"/>
      <c r="U5" s="12"/>
      <c r="V5" s="8">
        <v>2</v>
      </c>
      <c r="W5" s="9" t="s">
        <v>22</v>
      </c>
      <c r="X5" s="10" t="s">
        <v>13</v>
      </c>
      <c r="Y5" s="11"/>
      <c r="Z5" s="12"/>
      <c r="AA5" s="8">
        <v>2</v>
      </c>
      <c r="AB5" s="9" t="s">
        <v>23</v>
      </c>
      <c r="AC5" s="10" t="s">
        <v>13</v>
      </c>
      <c r="AD5" s="11"/>
      <c r="AE5" s="2"/>
      <c r="AF5" s="2"/>
      <c r="AG5" s="2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ht="12.75" customHeight="1">
      <c r="A6" s="2"/>
      <c r="B6" s="8">
        <v>3</v>
      </c>
      <c r="C6" s="9" t="s">
        <v>24</v>
      </c>
      <c r="D6" s="10" t="s">
        <v>11</v>
      </c>
      <c r="E6" s="11"/>
      <c r="F6" s="12"/>
      <c r="G6" s="8">
        <v>3</v>
      </c>
      <c r="H6" s="9" t="s">
        <v>25</v>
      </c>
      <c r="I6" s="10" t="s">
        <v>11</v>
      </c>
      <c r="J6" s="11"/>
      <c r="K6" s="12"/>
      <c r="L6" s="8">
        <v>3</v>
      </c>
      <c r="M6" s="9" t="s">
        <v>26</v>
      </c>
      <c r="N6" s="10" t="s">
        <v>11</v>
      </c>
      <c r="O6" s="11"/>
      <c r="P6" s="12"/>
      <c r="Q6" s="8">
        <v>3</v>
      </c>
      <c r="R6" s="9" t="s">
        <v>27</v>
      </c>
      <c r="S6" s="10" t="s">
        <v>11</v>
      </c>
      <c r="T6" s="11"/>
      <c r="U6" s="12"/>
      <c r="V6" s="8">
        <v>3</v>
      </c>
      <c r="W6" s="9" t="s">
        <v>28</v>
      </c>
      <c r="X6" s="10" t="s">
        <v>13</v>
      </c>
      <c r="Y6" s="11"/>
      <c r="Z6" s="12"/>
      <c r="AA6" s="8">
        <v>3</v>
      </c>
      <c r="AB6" s="9" t="s">
        <v>29</v>
      </c>
      <c r="AC6" s="10" t="s">
        <v>13</v>
      </c>
      <c r="AD6" s="11"/>
      <c r="AE6" s="2"/>
      <c r="AF6" s="2"/>
      <c r="AG6" s="2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ht="12.75" customHeight="1">
      <c r="A7" s="2"/>
      <c r="B7" s="8">
        <v>4</v>
      </c>
      <c r="C7" s="9" t="s">
        <v>30</v>
      </c>
      <c r="D7" s="10" t="s">
        <v>11</v>
      </c>
      <c r="E7" s="11"/>
      <c r="F7" s="12"/>
      <c r="G7" s="8">
        <v>4</v>
      </c>
      <c r="H7" s="9" t="s">
        <v>31</v>
      </c>
      <c r="I7" s="10" t="s">
        <v>11</v>
      </c>
      <c r="J7" s="11"/>
      <c r="K7" s="12"/>
      <c r="L7" s="8">
        <v>4</v>
      </c>
      <c r="M7" s="9" t="s">
        <v>32</v>
      </c>
      <c r="N7" s="10" t="s">
        <v>11</v>
      </c>
      <c r="O7" s="11"/>
      <c r="P7" s="12"/>
      <c r="Q7" s="8">
        <v>4</v>
      </c>
      <c r="R7" s="9" t="s">
        <v>33</v>
      </c>
      <c r="S7" s="10" t="s">
        <v>11</v>
      </c>
      <c r="T7" s="11"/>
      <c r="U7" s="12"/>
      <c r="V7" s="8">
        <v>4</v>
      </c>
      <c r="W7" s="9" t="s">
        <v>34</v>
      </c>
      <c r="X7" s="10" t="s">
        <v>11</v>
      </c>
      <c r="Y7" s="11"/>
      <c r="Z7" s="12"/>
      <c r="AA7" s="8">
        <v>4</v>
      </c>
      <c r="AB7" s="15" t="s">
        <v>35</v>
      </c>
      <c r="AC7" s="14" t="s">
        <v>13</v>
      </c>
      <c r="AD7" s="11"/>
      <c r="AE7" s="2"/>
      <c r="AF7" s="2"/>
      <c r="AG7" s="2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ht="12.75" customHeight="1">
      <c r="A8" s="2"/>
      <c r="B8" s="8">
        <v>5</v>
      </c>
      <c r="C8" s="9" t="s">
        <v>36</v>
      </c>
      <c r="D8" s="10" t="s">
        <v>11</v>
      </c>
      <c r="E8" s="11"/>
      <c r="F8" s="12"/>
      <c r="G8" s="8">
        <v>5</v>
      </c>
      <c r="H8" s="9" t="s">
        <v>37</v>
      </c>
      <c r="I8" s="10" t="s">
        <v>11</v>
      </c>
      <c r="J8" s="11"/>
      <c r="K8" s="12"/>
      <c r="L8" s="8">
        <v>5</v>
      </c>
      <c r="M8" s="16" t="s">
        <v>38</v>
      </c>
      <c r="N8" s="10" t="s">
        <v>11</v>
      </c>
      <c r="O8" s="11"/>
      <c r="P8" s="12"/>
      <c r="Q8" s="8">
        <v>5</v>
      </c>
      <c r="R8" s="9" t="s">
        <v>39</v>
      </c>
      <c r="S8" s="10" t="s">
        <v>11</v>
      </c>
      <c r="T8" s="11"/>
      <c r="U8" s="12"/>
      <c r="V8" s="8">
        <v>5</v>
      </c>
      <c r="W8" s="9" t="s">
        <v>40</v>
      </c>
      <c r="X8" s="10" t="s">
        <v>11</v>
      </c>
      <c r="Y8" s="11"/>
      <c r="Z8" s="12"/>
      <c r="AA8" s="8">
        <v>5</v>
      </c>
      <c r="AB8" s="17" t="s">
        <v>41</v>
      </c>
      <c r="AC8" s="10" t="s">
        <v>11</v>
      </c>
      <c r="AD8" s="13"/>
      <c r="AE8" s="2"/>
      <c r="AF8" s="2"/>
      <c r="AG8" s="2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ht="12.75" customHeight="1">
      <c r="A9" s="2"/>
      <c r="B9" s="8">
        <v>6</v>
      </c>
      <c r="C9" s="9" t="s">
        <v>42</v>
      </c>
      <c r="D9" s="10" t="s">
        <v>11</v>
      </c>
      <c r="E9" s="13"/>
      <c r="F9" s="12"/>
      <c r="G9" s="8">
        <v>6</v>
      </c>
      <c r="H9" s="9" t="s">
        <v>43</v>
      </c>
      <c r="I9" s="10" t="s">
        <v>13</v>
      </c>
      <c r="J9" s="11"/>
      <c r="K9" s="12"/>
      <c r="L9" s="8">
        <v>6</v>
      </c>
      <c r="M9" s="9" t="s">
        <v>44</v>
      </c>
      <c r="N9" s="10" t="s">
        <v>11</v>
      </c>
      <c r="O9" s="13"/>
      <c r="P9" s="12"/>
      <c r="Q9" s="8">
        <v>6</v>
      </c>
      <c r="R9" s="9" t="s">
        <v>45</v>
      </c>
      <c r="S9" s="10" t="s">
        <v>11</v>
      </c>
      <c r="T9" s="13"/>
      <c r="U9" s="12"/>
      <c r="V9" s="8">
        <v>6</v>
      </c>
      <c r="W9" s="9" t="s">
        <v>46</v>
      </c>
      <c r="X9" s="10" t="s">
        <v>11</v>
      </c>
      <c r="Y9" s="11"/>
      <c r="Z9" s="12"/>
      <c r="AA9" s="8">
        <v>6</v>
      </c>
      <c r="AB9" s="9" t="s">
        <v>47</v>
      </c>
      <c r="AC9" s="10" t="s">
        <v>13</v>
      </c>
      <c r="AD9" s="11"/>
      <c r="AE9" s="2"/>
      <c r="AF9" s="2"/>
      <c r="AG9" s="2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ht="12.75" customHeight="1">
      <c r="A10" s="2"/>
      <c r="B10" s="8">
        <v>7</v>
      </c>
      <c r="C10" s="9" t="s">
        <v>48</v>
      </c>
      <c r="D10" s="10" t="s">
        <v>11</v>
      </c>
      <c r="E10" s="18"/>
      <c r="F10" s="12"/>
      <c r="G10" s="8">
        <v>7</v>
      </c>
      <c r="H10" s="9" t="s">
        <v>49</v>
      </c>
      <c r="I10" s="10" t="s">
        <v>11</v>
      </c>
      <c r="J10" s="11"/>
      <c r="K10" s="12"/>
      <c r="L10" s="8">
        <v>7</v>
      </c>
      <c r="M10" s="9" t="s">
        <v>50</v>
      </c>
      <c r="N10" s="10" t="s">
        <v>13</v>
      </c>
      <c r="O10" s="11"/>
      <c r="P10" s="12"/>
      <c r="Q10" s="8">
        <v>7</v>
      </c>
      <c r="R10" s="9" t="s">
        <v>51</v>
      </c>
      <c r="S10" s="10" t="s">
        <v>11</v>
      </c>
      <c r="T10" s="11"/>
      <c r="U10" s="12"/>
      <c r="V10" s="8">
        <v>7</v>
      </c>
      <c r="W10" s="9" t="s">
        <v>52</v>
      </c>
      <c r="X10" s="10" t="s">
        <v>13</v>
      </c>
      <c r="Y10" s="11"/>
      <c r="Z10" s="12"/>
      <c r="AA10" s="8">
        <v>7</v>
      </c>
      <c r="AB10" s="9" t="s">
        <v>53</v>
      </c>
      <c r="AC10" s="10" t="s">
        <v>13</v>
      </c>
      <c r="AD10" s="11"/>
      <c r="AE10" s="2"/>
      <c r="AF10" s="2"/>
      <c r="AG10" s="2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ht="12.75" customHeight="1">
      <c r="A11" s="2"/>
      <c r="B11" s="8">
        <v>8</v>
      </c>
      <c r="C11" s="9" t="s">
        <v>54</v>
      </c>
      <c r="D11" s="10" t="s">
        <v>11</v>
      </c>
      <c r="E11" s="11"/>
      <c r="F11" s="12"/>
      <c r="G11" s="8">
        <v>8</v>
      </c>
      <c r="H11" s="9" t="s">
        <v>55</v>
      </c>
      <c r="I11" s="10" t="s">
        <v>11</v>
      </c>
      <c r="J11" s="11"/>
      <c r="K11" s="12"/>
      <c r="L11" s="8">
        <v>8</v>
      </c>
      <c r="M11" s="9" t="s">
        <v>56</v>
      </c>
      <c r="N11" s="10" t="s">
        <v>13</v>
      </c>
      <c r="O11" s="11"/>
      <c r="P11" s="12"/>
      <c r="Q11" s="8">
        <v>8</v>
      </c>
      <c r="R11" s="9" t="s">
        <v>57</v>
      </c>
      <c r="S11" s="10" t="s">
        <v>13</v>
      </c>
      <c r="T11" s="11"/>
      <c r="U11" s="12"/>
      <c r="V11" s="8">
        <v>8</v>
      </c>
      <c r="W11" s="9" t="s">
        <v>58</v>
      </c>
      <c r="X11" s="10" t="s">
        <v>13</v>
      </c>
      <c r="Y11" s="11"/>
      <c r="Z11" s="12"/>
      <c r="AA11" s="8">
        <v>8</v>
      </c>
      <c r="AB11" s="9" t="s">
        <v>59</v>
      </c>
      <c r="AC11" s="10" t="s">
        <v>13</v>
      </c>
      <c r="AD11" s="11"/>
      <c r="AE11" s="2"/>
      <c r="AF11" s="2"/>
      <c r="AG11" s="2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ht="12.75" customHeight="1">
      <c r="A12" s="2"/>
      <c r="B12" s="8">
        <v>9</v>
      </c>
      <c r="C12" s="9" t="s">
        <v>60</v>
      </c>
      <c r="D12" s="10" t="s">
        <v>11</v>
      </c>
      <c r="E12" s="11"/>
      <c r="F12" s="12"/>
      <c r="G12" s="8">
        <v>9</v>
      </c>
      <c r="H12" s="9" t="s">
        <v>61</v>
      </c>
      <c r="I12" s="10" t="s">
        <v>11</v>
      </c>
      <c r="J12" s="11"/>
      <c r="K12" s="12"/>
      <c r="L12" s="8">
        <v>9</v>
      </c>
      <c r="M12" s="9" t="s">
        <v>62</v>
      </c>
      <c r="N12" s="10" t="s">
        <v>11</v>
      </c>
      <c r="O12" s="11"/>
      <c r="P12" s="12"/>
      <c r="Q12" s="8">
        <v>9</v>
      </c>
      <c r="R12" s="9" t="s">
        <v>63</v>
      </c>
      <c r="S12" s="10" t="s">
        <v>11</v>
      </c>
      <c r="T12" s="11"/>
      <c r="U12" s="12"/>
      <c r="V12" s="8">
        <v>9</v>
      </c>
      <c r="W12" s="9" t="s">
        <v>64</v>
      </c>
      <c r="X12" s="14" t="s">
        <v>13</v>
      </c>
      <c r="Y12" s="11"/>
      <c r="Z12" s="12"/>
      <c r="AA12" s="8">
        <v>9</v>
      </c>
      <c r="AB12" s="9" t="s">
        <v>65</v>
      </c>
      <c r="AC12" s="14" t="s">
        <v>13</v>
      </c>
      <c r="AD12" s="18"/>
      <c r="AE12" s="7"/>
      <c r="AF12" s="2"/>
      <c r="AG12" s="2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ht="12.75" customHeight="1">
      <c r="A13" s="2"/>
      <c r="B13" s="8">
        <v>10</v>
      </c>
      <c r="C13" s="9" t="s">
        <v>66</v>
      </c>
      <c r="D13" s="10" t="s">
        <v>11</v>
      </c>
      <c r="E13" s="11"/>
      <c r="F13" s="12"/>
      <c r="G13" s="8">
        <v>10</v>
      </c>
      <c r="H13" s="9" t="s">
        <v>67</v>
      </c>
      <c r="I13" s="10" t="s">
        <v>13</v>
      </c>
      <c r="J13" s="11"/>
      <c r="K13" s="12"/>
      <c r="L13" s="8">
        <v>10</v>
      </c>
      <c r="M13" s="9" t="s">
        <v>68</v>
      </c>
      <c r="N13" s="10" t="s">
        <v>11</v>
      </c>
      <c r="O13" s="11"/>
      <c r="P13" s="12"/>
      <c r="Q13" s="8">
        <v>10</v>
      </c>
      <c r="R13" s="9" t="s">
        <v>69</v>
      </c>
      <c r="S13" s="10" t="s">
        <v>11</v>
      </c>
      <c r="T13" s="18"/>
      <c r="U13" s="12"/>
      <c r="V13" s="8">
        <v>10</v>
      </c>
      <c r="W13" s="17" t="s">
        <v>70</v>
      </c>
      <c r="X13" s="10" t="s">
        <v>13</v>
      </c>
      <c r="Y13" s="11"/>
      <c r="Z13" s="12"/>
      <c r="AA13" s="8">
        <v>10</v>
      </c>
      <c r="AB13" s="9" t="s">
        <v>71</v>
      </c>
      <c r="AC13" s="10" t="s">
        <v>11</v>
      </c>
      <c r="AD13" s="11"/>
      <c r="AE13" s="2"/>
      <c r="AF13" s="2"/>
      <c r="AG13" s="2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ht="12.75" customHeight="1">
      <c r="A14" s="2"/>
      <c r="B14" s="8">
        <v>11</v>
      </c>
      <c r="C14" s="9" t="s">
        <v>72</v>
      </c>
      <c r="D14" s="10" t="s">
        <v>11</v>
      </c>
      <c r="E14" s="11"/>
      <c r="F14" s="12"/>
      <c r="G14" s="8">
        <v>11</v>
      </c>
      <c r="H14" s="9" t="s">
        <v>73</v>
      </c>
      <c r="I14" s="10" t="s">
        <v>11</v>
      </c>
      <c r="J14" s="11"/>
      <c r="K14" s="12"/>
      <c r="L14" s="8">
        <v>11</v>
      </c>
      <c r="M14" s="9" t="s">
        <v>74</v>
      </c>
      <c r="N14" s="10" t="s">
        <v>11</v>
      </c>
      <c r="O14" s="11"/>
      <c r="P14" s="12"/>
      <c r="Q14" s="8">
        <v>11</v>
      </c>
      <c r="R14" s="9" t="s">
        <v>75</v>
      </c>
      <c r="S14" s="10" t="s">
        <v>11</v>
      </c>
      <c r="T14" s="11"/>
      <c r="U14" s="12"/>
      <c r="V14" s="8">
        <v>11</v>
      </c>
      <c r="W14" s="9" t="s">
        <v>76</v>
      </c>
      <c r="X14" s="10" t="s">
        <v>13</v>
      </c>
      <c r="Y14" s="11"/>
      <c r="Z14" s="12"/>
      <c r="AA14" s="8">
        <v>11</v>
      </c>
      <c r="AB14" s="9" t="s">
        <v>77</v>
      </c>
      <c r="AC14" s="10" t="s">
        <v>11</v>
      </c>
      <c r="AD14" s="11"/>
      <c r="AE14" s="2"/>
      <c r="AF14" s="2"/>
      <c r="AG14" s="2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ht="12.75" customHeight="1">
      <c r="A15" s="2"/>
      <c r="B15" s="8">
        <v>12</v>
      </c>
      <c r="C15" s="9" t="s">
        <v>78</v>
      </c>
      <c r="D15" s="10" t="s">
        <v>11</v>
      </c>
      <c r="E15" s="13"/>
      <c r="F15" s="12"/>
      <c r="G15" s="8">
        <v>12</v>
      </c>
      <c r="H15" s="9" t="s">
        <v>79</v>
      </c>
      <c r="I15" s="10" t="s">
        <v>11</v>
      </c>
      <c r="J15" s="11"/>
      <c r="K15" s="12"/>
      <c r="L15" s="8">
        <v>12</v>
      </c>
      <c r="M15" s="9" t="s">
        <v>80</v>
      </c>
      <c r="N15" s="10" t="s">
        <v>11</v>
      </c>
      <c r="O15" s="11"/>
      <c r="P15" s="12"/>
      <c r="Q15" s="8">
        <v>12</v>
      </c>
      <c r="R15" s="9" t="s">
        <v>81</v>
      </c>
      <c r="S15" s="10" t="s">
        <v>11</v>
      </c>
      <c r="T15" s="11"/>
      <c r="U15" s="12"/>
      <c r="V15" s="8">
        <v>12</v>
      </c>
      <c r="W15" s="9" t="s">
        <v>82</v>
      </c>
      <c r="X15" s="10" t="s">
        <v>11</v>
      </c>
      <c r="Y15" s="11"/>
      <c r="Z15" s="12"/>
      <c r="AA15" s="8">
        <v>12</v>
      </c>
      <c r="AB15" s="9" t="s">
        <v>83</v>
      </c>
      <c r="AC15" s="14" t="s">
        <v>13</v>
      </c>
      <c r="AD15" s="11"/>
      <c r="AE15" s="2"/>
      <c r="AF15" s="2"/>
      <c r="AG15" s="2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ht="12.75" customHeight="1">
      <c r="A16" s="2"/>
      <c r="B16" s="8">
        <v>13</v>
      </c>
      <c r="C16" s="9" t="s">
        <v>84</v>
      </c>
      <c r="D16" s="10" t="s">
        <v>11</v>
      </c>
      <c r="E16" s="11"/>
      <c r="F16" s="12"/>
      <c r="G16" s="8">
        <v>13</v>
      </c>
      <c r="H16" s="9" t="s">
        <v>85</v>
      </c>
      <c r="I16" s="10" t="s">
        <v>11</v>
      </c>
      <c r="J16" s="11"/>
      <c r="K16" s="12"/>
      <c r="L16" s="8">
        <v>13</v>
      </c>
      <c r="M16" s="9" t="s">
        <v>86</v>
      </c>
      <c r="N16" s="10" t="s">
        <v>11</v>
      </c>
      <c r="O16" s="13"/>
      <c r="P16" s="12"/>
      <c r="Q16" s="8">
        <v>13</v>
      </c>
      <c r="R16" s="9" t="s">
        <v>87</v>
      </c>
      <c r="S16" s="10" t="s">
        <v>11</v>
      </c>
      <c r="T16" s="11"/>
      <c r="U16" s="12"/>
      <c r="V16" s="8">
        <v>13</v>
      </c>
      <c r="W16" s="9" t="s">
        <v>88</v>
      </c>
      <c r="X16" s="14" t="s">
        <v>13</v>
      </c>
      <c r="Y16" s="11"/>
      <c r="Z16" s="12"/>
      <c r="AA16" s="8">
        <v>13</v>
      </c>
      <c r="AB16" s="9" t="s">
        <v>89</v>
      </c>
      <c r="AC16" s="10" t="s">
        <v>13</v>
      </c>
      <c r="AD16" s="11"/>
      <c r="AE16" s="2"/>
      <c r="AF16" s="2"/>
      <c r="AG16" s="2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ht="12.75" customHeight="1">
      <c r="A17" s="2"/>
      <c r="B17" s="8">
        <v>14</v>
      </c>
      <c r="C17" s="9" t="s">
        <v>90</v>
      </c>
      <c r="D17" s="10" t="s">
        <v>11</v>
      </c>
      <c r="E17" s="11"/>
      <c r="F17" s="12"/>
      <c r="G17" s="8">
        <v>14</v>
      </c>
      <c r="H17" s="9" t="s">
        <v>91</v>
      </c>
      <c r="I17" s="10" t="s">
        <v>13</v>
      </c>
      <c r="J17" s="11"/>
      <c r="K17" s="12"/>
      <c r="L17" s="8">
        <v>14</v>
      </c>
      <c r="M17" s="9" t="s">
        <v>92</v>
      </c>
      <c r="N17" s="10" t="s">
        <v>11</v>
      </c>
      <c r="O17" s="11"/>
      <c r="P17" s="12"/>
      <c r="Q17" s="8">
        <v>14</v>
      </c>
      <c r="R17" s="9" t="s">
        <v>93</v>
      </c>
      <c r="S17" s="10" t="s">
        <v>13</v>
      </c>
      <c r="T17" s="11"/>
      <c r="U17" s="12"/>
      <c r="V17" s="8">
        <v>14</v>
      </c>
      <c r="W17" s="9" t="s">
        <v>94</v>
      </c>
      <c r="X17" s="14" t="s">
        <v>13</v>
      </c>
      <c r="Y17" s="13"/>
      <c r="Z17" s="12"/>
      <c r="AA17" s="8">
        <v>14</v>
      </c>
      <c r="AB17" s="9" t="s">
        <v>95</v>
      </c>
      <c r="AC17" s="10" t="s">
        <v>11</v>
      </c>
      <c r="AD17" s="11"/>
      <c r="AE17" s="2"/>
      <c r="AF17" s="2"/>
      <c r="AG17" s="2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ht="12.75" customHeight="1">
      <c r="A18" s="2"/>
      <c r="B18" s="8">
        <v>15</v>
      </c>
      <c r="C18" s="9" t="s">
        <v>96</v>
      </c>
      <c r="D18" s="14" t="s">
        <v>13</v>
      </c>
      <c r="E18" s="11"/>
      <c r="F18" s="12"/>
      <c r="G18" s="8">
        <v>15</v>
      </c>
      <c r="H18" s="9" t="s">
        <v>97</v>
      </c>
      <c r="I18" s="10" t="s">
        <v>11</v>
      </c>
      <c r="J18" s="13"/>
      <c r="K18" s="12"/>
      <c r="L18" s="8">
        <v>15</v>
      </c>
      <c r="M18" s="9" t="s">
        <v>98</v>
      </c>
      <c r="N18" s="10" t="s">
        <v>11</v>
      </c>
      <c r="O18" s="13"/>
      <c r="P18" s="12"/>
      <c r="Q18" s="8">
        <v>15</v>
      </c>
      <c r="R18" s="9" t="s">
        <v>99</v>
      </c>
      <c r="S18" s="10" t="s">
        <v>11</v>
      </c>
      <c r="T18" s="11"/>
      <c r="U18" s="12"/>
      <c r="V18" s="8">
        <v>15</v>
      </c>
      <c r="W18" s="9" t="s">
        <v>100</v>
      </c>
      <c r="X18" s="10" t="s">
        <v>13</v>
      </c>
      <c r="Y18" s="11"/>
      <c r="Z18" s="12"/>
      <c r="AA18" s="8">
        <v>15</v>
      </c>
      <c r="AB18" s="9" t="s">
        <v>101</v>
      </c>
      <c r="AC18" s="10" t="s">
        <v>11</v>
      </c>
      <c r="AD18" s="11"/>
      <c r="AE18" s="2"/>
      <c r="AF18" s="2"/>
      <c r="AG18" s="2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ht="12.75" customHeight="1">
      <c r="A19" s="2"/>
      <c r="B19" s="8">
        <v>16</v>
      </c>
      <c r="C19" s="9" t="s">
        <v>102</v>
      </c>
      <c r="D19" s="10" t="s">
        <v>13</v>
      </c>
      <c r="E19" s="11"/>
      <c r="F19" s="12"/>
      <c r="G19" s="8">
        <v>16</v>
      </c>
      <c r="H19" s="9" t="s">
        <v>103</v>
      </c>
      <c r="I19" s="10" t="s">
        <v>11</v>
      </c>
      <c r="J19" s="13"/>
      <c r="K19" s="12"/>
      <c r="L19" s="8">
        <v>16</v>
      </c>
      <c r="M19" s="9" t="s">
        <v>104</v>
      </c>
      <c r="N19" s="10" t="s">
        <v>11</v>
      </c>
      <c r="O19" s="11"/>
      <c r="P19" s="12"/>
      <c r="Q19" s="8">
        <v>16</v>
      </c>
      <c r="R19" s="9" t="s">
        <v>105</v>
      </c>
      <c r="S19" s="10" t="s">
        <v>11</v>
      </c>
      <c r="T19" s="11"/>
      <c r="U19" s="12"/>
      <c r="V19" s="8">
        <v>16</v>
      </c>
      <c r="W19" s="9" t="s">
        <v>106</v>
      </c>
      <c r="X19" s="10" t="s">
        <v>13</v>
      </c>
      <c r="Y19" s="11"/>
      <c r="Z19" s="12"/>
      <c r="AA19" s="8">
        <v>16</v>
      </c>
      <c r="AB19" s="9" t="s">
        <v>107</v>
      </c>
      <c r="AC19" s="14" t="s">
        <v>13</v>
      </c>
      <c r="AD19" s="11"/>
      <c r="AE19" s="2"/>
      <c r="AF19" s="2"/>
      <c r="AG19" s="2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ht="12.75" customHeight="1">
      <c r="A20" s="2"/>
      <c r="B20" s="8"/>
      <c r="C20" s="9"/>
      <c r="D20" s="10"/>
      <c r="E20" s="11"/>
      <c r="F20" s="12"/>
      <c r="G20" s="19"/>
      <c r="H20" s="20"/>
      <c r="I20" s="10"/>
      <c r="J20" s="21"/>
      <c r="K20" s="12"/>
      <c r="L20" s="19"/>
      <c r="M20" s="20"/>
      <c r="N20" s="22"/>
      <c r="O20" s="21"/>
      <c r="P20" s="12"/>
      <c r="Q20" s="19"/>
      <c r="R20" s="20"/>
      <c r="S20" s="10"/>
      <c r="T20" s="21"/>
      <c r="U20" s="12"/>
      <c r="V20" s="19"/>
      <c r="W20" s="23"/>
      <c r="X20" s="20"/>
      <c r="Y20" s="24"/>
      <c r="Z20" s="12"/>
      <c r="AA20" s="19"/>
      <c r="AB20" s="23"/>
      <c r="AC20" s="25"/>
      <c r="AD20" s="21"/>
      <c r="AE20" s="26" t="s">
        <v>108</v>
      </c>
      <c r="AF20" s="26" t="s">
        <v>13</v>
      </c>
      <c r="AG20" s="27" t="s">
        <v>109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ht="12.75" customHeight="1">
      <c r="A21" s="28"/>
      <c r="B21" s="29" t="s">
        <v>108</v>
      </c>
      <c r="C21" s="30">
        <f>COUNTIF($D$4:$D$20,"-")</f>
        <v>13</v>
      </c>
      <c r="D21" s="30" t="s">
        <v>13</v>
      </c>
      <c r="E21" s="31">
        <f>COUNTIF($D$4:$D$20,"여")</f>
        <v>3</v>
      </c>
      <c r="F21" s="32"/>
      <c r="G21" s="29" t="s">
        <v>108</v>
      </c>
      <c r="H21" s="30">
        <f>COUNTIF(I4:I20,"-")</f>
        <v>12</v>
      </c>
      <c r="I21" s="30" t="s">
        <v>13</v>
      </c>
      <c r="J21" s="31">
        <f>COUNTIF($I$4:$I$19,"여")</f>
        <v>4</v>
      </c>
      <c r="K21" s="32"/>
      <c r="L21" s="29" t="s">
        <v>108</v>
      </c>
      <c r="M21" s="30">
        <f>COUNTIF(N4:N20,"-")</f>
        <v>13</v>
      </c>
      <c r="N21" s="30" t="s">
        <v>13</v>
      </c>
      <c r="O21" s="31">
        <f>COUNTIF($N$4:$N$20,"여")</f>
        <v>3</v>
      </c>
      <c r="P21" s="32"/>
      <c r="Q21" s="29" t="s">
        <v>108</v>
      </c>
      <c r="R21" s="30">
        <f>COUNTIF(S4:S20,"-")</f>
        <v>14</v>
      </c>
      <c r="S21" s="30" t="s">
        <v>13</v>
      </c>
      <c r="T21" s="31">
        <f>COUNTIF($S$4:$S$19,"여")</f>
        <v>2</v>
      </c>
      <c r="U21" s="32"/>
      <c r="V21" s="29" t="s">
        <v>108</v>
      </c>
      <c r="W21" s="30">
        <f>COUNTIF(X4:X19,"-")</f>
        <v>4</v>
      </c>
      <c r="X21" s="30" t="s">
        <v>13</v>
      </c>
      <c r="Y21" s="31">
        <f>COUNTIF(X4:X19,"여")</f>
        <v>12</v>
      </c>
      <c r="Z21" s="32"/>
      <c r="AA21" s="29" t="s">
        <v>108</v>
      </c>
      <c r="AB21" s="30">
        <f>COUNTIF(AC4:AC19,"-")</f>
        <v>5</v>
      </c>
      <c r="AC21" s="30" t="s">
        <v>13</v>
      </c>
      <c r="AD21" s="31">
        <f>COUNTIF($AC$4:$AC$19,"여")</f>
        <v>11</v>
      </c>
      <c r="AE21" s="26">
        <f>SUM(C21,H21,M21,R21,W21,AB21)</f>
        <v>61</v>
      </c>
      <c r="AF21" s="26">
        <f>SUM(E21,J21,O21,T21,Y21,AD21)</f>
        <v>35</v>
      </c>
      <c r="AG21" s="33">
        <f>SUM(AE21:AF21)</f>
        <v>96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ht="18.75" customHeight="1">
      <c r="A22" s="1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2"/>
      <c r="AF22" s="2"/>
      <c r="AG22" s="2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ht="12.75" customHeight="1">
      <c r="A23" s="1"/>
      <c r="B23" s="61" t="s">
        <v>110</v>
      </c>
      <c r="C23" s="59"/>
      <c r="D23" s="59"/>
      <c r="E23" s="60"/>
      <c r="F23" s="32"/>
      <c r="G23" s="61" t="s">
        <v>111</v>
      </c>
      <c r="H23" s="59"/>
      <c r="I23" s="59"/>
      <c r="J23" s="60"/>
      <c r="K23" s="32"/>
      <c r="L23" s="62" t="s">
        <v>112</v>
      </c>
      <c r="M23" s="59"/>
      <c r="N23" s="59"/>
      <c r="O23" s="60"/>
      <c r="P23" s="32"/>
      <c r="Q23" s="62" t="s">
        <v>113</v>
      </c>
      <c r="R23" s="59"/>
      <c r="S23" s="59"/>
      <c r="T23" s="60"/>
      <c r="U23" s="32"/>
      <c r="V23" s="58" t="s">
        <v>114</v>
      </c>
      <c r="W23" s="59"/>
      <c r="X23" s="59"/>
      <c r="Y23" s="60"/>
      <c r="Z23" s="32"/>
      <c r="AA23" s="58" t="s">
        <v>115</v>
      </c>
      <c r="AB23" s="59"/>
      <c r="AC23" s="59"/>
      <c r="AD23" s="60"/>
      <c r="AE23" s="2"/>
      <c r="AF23" s="2"/>
      <c r="AG23" s="2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ht="12.75" customHeight="1">
      <c r="A24" s="1"/>
      <c r="B24" s="4" t="s">
        <v>7</v>
      </c>
      <c r="C24" s="5" t="s">
        <v>8</v>
      </c>
      <c r="D24" s="5" t="s">
        <v>9</v>
      </c>
      <c r="E24" s="6" t="s">
        <v>10</v>
      </c>
      <c r="F24" s="7"/>
      <c r="G24" s="4" t="s">
        <v>7</v>
      </c>
      <c r="H24" s="5" t="s">
        <v>8</v>
      </c>
      <c r="I24" s="5" t="s">
        <v>9</v>
      </c>
      <c r="J24" s="6" t="s">
        <v>10</v>
      </c>
      <c r="K24" s="7"/>
      <c r="L24" s="4" t="s">
        <v>7</v>
      </c>
      <c r="M24" s="35" t="s">
        <v>8</v>
      </c>
      <c r="N24" s="5" t="s">
        <v>9</v>
      </c>
      <c r="O24" s="6" t="s">
        <v>10</v>
      </c>
      <c r="P24" s="7"/>
      <c r="Q24" s="4" t="s">
        <v>7</v>
      </c>
      <c r="R24" s="5" t="s">
        <v>8</v>
      </c>
      <c r="S24" s="5" t="s">
        <v>9</v>
      </c>
      <c r="T24" s="6" t="s">
        <v>10</v>
      </c>
      <c r="U24" s="7"/>
      <c r="V24" s="4" t="s">
        <v>7</v>
      </c>
      <c r="W24" s="5" t="s">
        <v>8</v>
      </c>
      <c r="X24" s="5" t="s">
        <v>9</v>
      </c>
      <c r="Y24" s="6" t="s">
        <v>10</v>
      </c>
      <c r="Z24" s="7"/>
      <c r="AA24" s="4" t="s">
        <v>7</v>
      </c>
      <c r="AB24" s="5" t="s">
        <v>8</v>
      </c>
      <c r="AC24" s="5" t="s">
        <v>9</v>
      </c>
      <c r="AD24" s="6" t="s">
        <v>10</v>
      </c>
      <c r="AE24" s="2"/>
      <c r="AF24" s="2"/>
      <c r="AG24" s="2"/>
      <c r="AH24" s="1"/>
      <c r="AI24" s="2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ht="12.75" customHeight="1">
      <c r="A25" s="2"/>
      <c r="B25" s="8">
        <v>1</v>
      </c>
      <c r="C25" s="9" t="s">
        <v>116</v>
      </c>
      <c r="D25" s="10" t="s">
        <v>11</v>
      </c>
      <c r="E25" s="36"/>
      <c r="F25" s="37"/>
      <c r="G25" s="8">
        <v>1</v>
      </c>
      <c r="H25" s="9" t="s">
        <v>117</v>
      </c>
      <c r="I25" s="10" t="s">
        <v>11</v>
      </c>
      <c r="J25" s="38"/>
      <c r="K25" s="37"/>
      <c r="L25" s="39">
        <v>1</v>
      </c>
      <c r="M25" s="40" t="s">
        <v>118</v>
      </c>
      <c r="N25" s="10" t="s">
        <v>11</v>
      </c>
      <c r="O25" s="36"/>
      <c r="P25" s="37"/>
      <c r="Q25" s="39">
        <v>1</v>
      </c>
      <c r="R25" s="40" t="s">
        <v>119</v>
      </c>
      <c r="S25" s="10" t="s">
        <v>13</v>
      </c>
      <c r="T25" s="38"/>
      <c r="U25" s="37"/>
      <c r="V25" s="8">
        <v>1</v>
      </c>
      <c r="W25" s="9" t="s">
        <v>120</v>
      </c>
      <c r="X25" s="41" t="s">
        <v>13</v>
      </c>
      <c r="Y25" s="38"/>
      <c r="Z25" s="37"/>
      <c r="AA25" s="8">
        <v>1</v>
      </c>
      <c r="AB25" s="9" t="s">
        <v>121</v>
      </c>
      <c r="AC25" s="10" t="s">
        <v>11</v>
      </c>
      <c r="AD25" s="38"/>
      <c r="AE25" s="2"/>
      <c r="AF25" s="2"/>
      <c r="AG25" s="2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ht="12.75" customHeight="1">
      <c r="A26" s="2"/>
      <c r="B26" s="8">
        <v>2</v>
      </c>
      <c r="C26" s="9" t="s">
        <v>122</v>
      </c>
      <c r="D26" s="10" t="s">
        <v>11</v>
      </c>
      <c r="E26" s="38"/>
      <c r="F26" s="37"/>
      <c r="G26" s="8">
        <v>2</v>
      </c>
      <c r="H26" s="9" t="s">
        <v>123</v>
      </c>
      <c r="I26" s="10" t="s">
        <v>11</v>
      </c>
      <c r="J26" s="38"/>
      <c r="K26" s="37"/>
      <c r="L26" s="39">
        <v>2</v>
      </c>
      <c r="M26" s="40" t="s">
        <v>25</v>
      </c>
      <c r="N26" s="10" t="s">
        <v>11</v>
      </c>
      <c r="O26" s="36"/>
      <c r="P26" s="37"/>
      <c r="Q26" s="39">
        <v>2</v>
      </c>
      <c r="R26" s="40" t="s">
        <v>124</v>
      </c>
      <c r="S26" s="10" t="s">
        <v>13</v>
      </c>
      <c r="T26" s="38"/>
      <c r="U26" s="37"/>
      <c r="V26" s="8">
        <v>2</v>
      </c>
      <c r="W26" s="9" t="s">
        <v>125</v>
      </c>
      <c r="X26" s="10" t="s">
        <v>11</v>
      </c>
      <c r="Y26" s="38"/>
      <c r="Z26" s="37"/>
      <c r="AA26" s="8">
        <v>2</v>
      </c>
      <c r="AB26" s="9" t="s">
        <v>126</v>
      </c>
      <c r="AC26" s="16" t="s">
        <v>13</v>
      </c>
      <c r="AD26" s="38"/>
      <c r="AE26" s="2"/>
      <c r="AF26" s="2"/>
      <c r="AG26" s="2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ht="12.75" customHeight="1">
      <c r="A27" s="2"/>
      <c r="B27" s="8">
        <v>3</v>
      </c>
      <c r="C27" s="9" t="s">
        <v>127</v>
      </c>
      <c r="D27" s="14" t="s">
        <v>13</v>
      </c>
      <c r="E27" s="36"/>
      <c r="F27" s="37"/>
      <c r="G27" s="8">
        <v>3</v>
      </c>
      <c r="H27" s="9" t="s">
        <v>128</v>
      </c>
      <c r="I27" s="10" t="s">
        <v>11</v>
      </c>
      <c r="J27" s="38"/>
      <c r="K27" s="37"/>
      <c r="L27" s="39">
        <v>3</v>
      </c>
      <c r="M27" s="40" t="s">
        <v>129</v>
      </c>
      <c r="N27" s="10" t="s">
        <v>11</v>
      </c>
      <c r="O27" s="36"/>
      <c r="P27" s="37"/>
      <c r="Q27" s="39">
        <v>3</v>
      </c>
      <c r="R27" s="40" t="s">
        <v>130</v>
      </c>
      <c r="S27" s="10" t="s">
        <v>13</v>
      </c>
      <c r="T27" s="38"/>
      <c r="U27" s="37"/>
      <c r="V27" s="8">
        <v>3</v>
      </c>
      <c r="W27" s="9" t="s">
        <v>131</v>
      </c>
      <c r="X27" s="41" t="s">
        <v>13</v>
      </c>
      <c r="Y27" s="38"/>
      <c r="Z27" s="37"/>
      <c r="AA27" s="8">
        <v>3</v>
      </c>
      <c r="AB27" s="9" t="s">
        <v>132</v>
      </c>
      <c r="AC27" s="10" t="s">
        <v>11</v>
      </c>
      <c r="AD27" s="38"/>
      <c r="AE27" s="2"/>
      <c r="AF27" s="2"/>
      <c r="AG27" s="2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ht="12.75" customHeight="1">
      <c r="A28" s="2"/>
      <c r="B28" s="8">
        <v>4</v>
      </c>
      <c r="C28" s="9" t="s">
        <v>133</v>
      </c>
      <c r="D28" s="10" t="s">
        <v>11</v>
      </c>
      <c r="E28" s="38"/>
      <c r="F28" s="37"/>
      <c r="G28" s="8">
        <v>4</v>
      </c>
      <c r="H28" s="9" t="s">
        <v>134</v>
      </c>
      <c r="I28" s="14" t="s">
        <v>11</v>
      </c>
      <c r="J28" s="38"/>
      <c r="K28" s="37"/>
      <c r="L28" s="39">
        <v>4</v>
      </c>
      <c r="M28" s="40" t="s">
        <v>135</v>
      </c>
      <c r="N28" s="10" t="s">
        <v>11</v>
      </c>
      <c r="O28" s="36"/>
      <c r="P28" s="37"/>
      <c r="Q28" s="39">
        <v>4</v>
      </c>
      <c r="R28" s="40" t="s">
        <v>136</v>
      </c>
      <c r="S28" s="10" t="s">
        <v>13</v>
      </c>
      <c r="T28" s="38"/>
      <c r="U28" s="37"/>
      <c r="V28" s="8">
        <v>4</v>
      </c>
      <c r="W28" s="9" t="s">
        <v>137</v>
      </c>
      <c r="X28" s="10" t="s">
        <v>11</v>
      </c>
      <c r="Y28" s="38"/>
      <c r="Z28" s="37"/>
      <c r="AA28" s="8">
        <v>4</v>
      </c>
      <c r="AB28" s="9" t="s">
        <v>138</v>
      </c>
      <c r="AC28" s="10" t="s">
        <v>11</v>
      </c>
      <c r="AD28" s="38"/>
      <c r="AE28" s="2"/>
      <c r="AF28" s="2"/>
      <c r="AG28" s="2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ht="12.75" customHeight="1">
      <c r="A29" s="2"/>
      <c r="B29" s="8">
        <v>5</v>
      </c>
      <c r="C29" s="9" t="s">
        <v>139</v>
      </c>
      <c r="D29" s="10" t="s">
        <v>13</v>
      </c>
      <c r="E29" s="38"/>
      <c r="F29" s="37"/>
      <c r="G29" s="8">
        <v>5</v>
      </c>
      <c r="H29" s="9" t="s">
        <v>140</v>
      </c>
      <c r="I29" s="10" t="s">
        <v>13</v>
      </c>
      <c r="J29" s="38"/>
      <c r="K29" s="37"/>
      <c r="L29" s="39">
        <v>5</v>
      </c>
      <c r="M29" s="40" t="s">
        <v>141</v>
      </c>
      <c r="N29" s="10" t="s">
        <v>11</v>
      </c>
      <c r="O29" s="36"/>
      <c r="P29" s="37"/>
      <c r="Q29" s="39">
        <v>5</v>
      </c>
      <c r="R29" s="40" t="s">
        <v>142</v>
      </c>
      <c r="S29" s="10" t="s">
        <v>13</v>
      </c>
      <c r="T29" s="38"/>
      <c r="U29" s="37"/>
      <c r="V29" s="8">
        <v>5</v>
      </c>
      <c r="W29" s="9" t="s">
        <v>143</v>
      </c>
      <c r="X29" s="10" t="s">
        <v>11</v>
      </c>
      <c r="Y29" s="38"/>
      <c r="Z29" s="37"/>
      <c r="AA29" s="8">
        <v>5</v>
      </c>
      <c r="AB29" s="9" t="s">
        <v>144</v>
      </c>
      <c r="AC29" s="16" t="s">
        <v>13</v>
      </c>
      <c r="AD29" s="38"/>
      <c r="AE29" s="2"/>
      <c r="AF29" s="2"/>
      <c r="AG29" s="2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ht="12.75" customHeight="1">
      <c r="A30" s="2"/>
      <c r="B30" s="8">
        <v>6</v>
      </c>
      <c r="C30" s="9" t="s">
        <v>145</v>
      </c>
      <c r="D30" s="10" t="s">
        <v>11</v>
      </c>
      <c r="E30" s="38"/>
      <c r="F30" s="37"/>
      <c r="G30" s="8">
        <v>6</v>
      </c>
      <c r="H30" s="9" t="s">
        <v>54</v>
      </c>
      <c r="I30" s="10" t="s">
        <v>11</v>
      </c>
      <c r="J30" s="38"/>
      <c r="K30" s="37"/>
      <c r="L30" s="39">
        <v>6</v>
      </c>
      <c r="M30" s="40" t="s">
        <v>146</v>
      </c>
      <c r="N30" s="10" t="s">
        <v>13</v>
      </c>
      <c r="O30" s="36"/>
      <c r="P30" s="37"/>
      <c r="Q30" s="39">
        <v>6</v>
      </c>
      <c r="R30" s="40" t="s">
        <v>147</v>
      </c>
      <c r="S30" s="10" t="s">
        <v>11</v>
      </c>
      <c r="T30" s="38"/>
      <c r="U30" s="37"/>
      <c r="V30" s="8">
        <v>6</v>
      </c>
      <c r="W30" s="9" t="s">
        <v>148</v>
      </c>
      <c r="X30" s="41" t="s">
        <v>13</v>
      </c>
      <c r="Y30" s="38"/>
      <c r="Z30" s="37"/>
      <c r="AA30" s="8">
        <v>6</v>
      </c>
      <c r="AB30" s="9" t="s">
        <v>149</v>
      </c>
      <c r="AC30" s="16" t="s">
        <v>13</v>
      </c>
      <c r="AD30" s="38"/>
      <c r="AE30" s="2"/>
      <c r="AF30" s="2"/>
      <c r="AG30" s="2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ht="12.75" customHeight="1">
      <c r="A31" s="2"/>
      <c r="B31" s="8">
        <v>7</v>
      </c>
      <c r="C31" s="9" t="s">
        <v>150</v>
      </c>
      <c r="D31" s="10" t="s">
        <v>11</v>
      </c>
      <c r="E31" s="38"/>
      <c r="F31" s="37"/>
      <c r="G31" s="8">
        <v>7</v>
      </c>
      <c r="H31" s="9" t="s">
        <v>151</v>
      </c>
      <c r="I31" s="10" t="s">
        <v>13</v>
      </c>
      <c r="J31" s="38"/>
      <c r="K31" s="37"/>
      <c r="L31" s="39">
        <v>7</v>
      </c>
      <c r="M31" s="40" t="s">
        <v>152</v>
      </c>
      <c r="N31" s="10" t="s">
        <v>11</v>
      </c>
      <c r="O31" s="36"/>
      <c r="P31" s="37"/>
      <c r="Q31" s="39">
        <v>7</v>
      </c>
      <c r="R31" s="40" t="s">
        <v>153</v>
      </c>
      <c r="S31" s="10" t="s">
        <v>11</v>
      </c>
      <c r="T31" s="38"/>
      <c r="U31" s="37"/>
      <c r="V31" s="8">
        <v>7</v>
      </c>
      <c r="W31" s="9" t="s">
        <v>154</v>
      </c>
      <c r="X31" s="41" t="s">
        <v>13</v>
      </c>
      <c r="Y31" s="38"/>
      <c r="Z31" s="37"/>
      <c r="AA31" s="8">
        <v>7</v>
      </c>
      <c r="AB31" s="9" t="s">
        <v>155</v>
      </c>
      <c r="AC31" s="10" t="s">
        <v>11</v>
      </c>
      <c r="AD31" s="42"/>
      <c r="AE31" s="2"/>
      <c r="AF31" s="2"/>
      <c r="AG31" s="2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ht="12.75" customHeight="1">
      <c r="A32" s="2"/>
      <c r="B32" s="8">
        <v>8</v>
      </c>
      <c r="C32" s="9" t="s">
        <v>156</v>
      </c>
      <c r="D32" s="10" t="s">
        <v>13</v>
      </c>
      <c r="E32" s="38"/>
      <c r="F32" s="37"/>
      <c r="G32" s="8">
        <v>8</v>
      </c>
      <c r="H32" s="9" t="s">
        <v>157</v>
      </c>
      <c r="I32" s="10" t="s">
        <v>11</v>
      </c>
      <c r="J32" s="38"/>
      <c r="K32" s="37"/>
      <c r="L32" s="39">
        <v>8</v>
      </c>
      <c r="M32" s="40" t="s">
        <v>158</v>
      </c>
      <c r="N32" s="10" t="s">
        <v>11</v>
      </c>
      <c r="O32" s="36"/>
      <c r="P32" s="37"/>
      <c r="Q32" s="39">
        <v>8</v>
      </c>
      <c r="R32" s="40" t="s">
        <v>159</v>
      </c>
      <c r="S32" s="10" t="s">
        <v>11</v>
      </c>
      <c r="T32" s="38"/>
      <c r="U32" s="37"/>
      <c r="V32" s="8">
        <v>8</v>
      </c>
      <c r="W32" s="9" t="s">
        <v>160</v>
      </c>
      <c r="X32" s="41" t="s">
        <v>13</v>
      </c>
      <c r="Y32" s="38"/>
      <c r="Z32" s="37"/>
      <c r="AA32" s="8">
        <v>8</v>
      </c>
      <c r="AB32" s="9" t="s">
        <v>161</v>
      </c>
      <c r="AC32" s="16" t="s">
        <v>13</v>
      </c>
      <c r="AD32" s="38"/>
      <c r="AE32" s="2"/>
      <c r="AF32" s="2"/>
      <c r="AG32" s="2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ht="12.75" customHeight="1">
      <c r="A33" s="2"/>
      <c r="B33" s="8">
        <v>9</v>
      </c>
      <c r="C33" s="9" t="s">
        <v>162</v>
      </c>
      <c r="D33" s="10" t="s">
        <v>11</v>
      </c>
      <c r="E33" s="38"/>
      <c r="F33" s="37"/>
      <c r="G33" s="8">
        <v>9</v>
      </c>
      <c r="H33" s="9" t="s">
        <v>163</v>
      </c>
      <c r="I33" s="10" t="s">
        <v>11</v>
      </c>
      <c r="J33" s="38"/>
      <c r="K33" s="37"/>
      <c r="L33" s="39">
        <v>9</v>
      </c>
      <c r="M33" s="40" t="s">
        <v>164</v>
      </c>
      <c r="N33" s="10" t="s">
        <v>11</v>
      </c>
      <c r="O33" s="36"/>
      <c r="P33" s="37"/>
      <c r="Q33" s="39">
        <v>9</v>
      </c>
      <c r="R33" s="40" t="s">
        <v>165</v>
      </c>
      <c r="S33" s="10" t="s">
        <v>11</v>
      </c>
      <c r="T33" s="43"/>
      <c r="U33" s="37"/>
      <c r="V33" s="8">
        <v>9</v>
      </c>
      <c r="W33" s="9" t="s">
        <v>166</v>
      </c>
      <c r="X33" s="10" t="s">
        <v>11</v>
      </c>
      <c r="Y33" s="38"/>
      <c r="Z33" s="37"/>
      <c r="AA33" s="8">
        <v>9</v>
      </c>
      <c r="AB33" s="9" t="s">
        <v>167</v>
      </c>
      <c r="AC33" s="16" t="s">
        <v>13</v>
      </c>
      <c r="AD33" s="38"/>
      <c r="AE33" s="2"/>
      <c r="AF33" s="2"/>
      <c r="AG33" s="2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ht="12.75" customHeight="1">
      <c r="A34" s="2"/>
      <c r="B34" s="8">
        <v>10</v>
      </c>
      <c r="C34" s="9" t="s">
        <v>168</v>
      </c>
      <c r="D34" s="10" t="s">
        <v>11</v>
      </c>
      <c r="E34" s="38"/>
      <c r="F34" s="37"/>
      <c r="G34" s="8">
        <v>10</v>
      </c>
      <c r="H34" s="9" t="s">
        <v>169</v>
      </c>
      <c r="I34" s="10" t="s">
        <v>11</v>
      </c>
      <c r="J34" s="38"/>
      <c r="K34" s="37"/>
      <c r="L34" s="39">
        <v>10</v>
      </c>
      <c r="M34" s="40" t="s">
        <v>170</v>
      </c>
      <c r="N34" s="10" t="s">
        <v>11</v>
      </c>
      <c r="O34" s="36"/>
      <c r="P34" s="37"/>
      <c r="Q34" s="39">
        <v>10</v>
      </c>
      <c r="R34" s="40" t="s">
        <v>171</v>
      </c>
      <c r="S34" s="10" t="s">
        <v>11</v>
      </c>
      <c r="T34" s="38"/>
      <c r="U34" s="37"/>
      <c r="V34" s="8">
        <v>10</v>
      </c>
      <c r="W34" s="9" t="s">
        <v>172</v>
      </c>
      <c r="X34" s="10" t="s">
        <v>11</v>
      </c>
      <c r="Y34" s="38"/>
      <c r="Z34" s="37"/>
      <c r="AA34" s="8">
        <v>10</v>
      </c>
      <c r="AB34" s="9" t="s">
        <v>173</v>
      </c>
      <c r="AC34" s="10" t="s">
        <v>11</v>
      </c>
      <c r="AD34" s="38"/>
      <c r="AE34" s="2"/>
      <c r="AF34" s="2"/>
      <c r="AG34" s="2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ht="12.75" customHeight="1">
      <c r="A35" s="2"/>
      <c r="B35" s="8">
        <v>11</v>
      </c>
      <c r="C35" s="9" t="s">
        <v>174</v>
      </c>
      <c r="D35" s="14" t="s">
        <v>11</v>
      </c>
      <c r="E35" s="38"/>
      <c r="F35" s="37"/>
      <c r="G35" s="8">
        <v>11</v>
      </c>
      <c r="H35" s="9" t="s">
        <v>175</v>
      </c>
      <c r="I35" s="10" t="s">
        <v>13</v>
      </c>
      <c r="J35" s="38"/>
      <c r="K35" s="37"/>
      <c r="L35" s="39">
        <v>11</v>
      </c>
      <c r="M35" s="40" t="s">
        <v>176</v>
      </c>
      <c r="N35" s="10" t="s">
        <v>11</v>
      </c>
      <c r="O35" s="36"/>
      <c r="P35" s="37"/>
      <c r="Q35" s="39">
        <v>11</v>
      </c>
      <c r="R35" s="40" t="s">
        <v>177</v>
      </c>
      <c r="S35" s="10" t="s">
        <v>11</v>
      </c>
      <c r="T35" s="38"/>
      <c r="U35" s="37"/>
      <c r="V35" s="8">
        <v>11</v>
      </c>
      <c r="W35" s="9" t="s">
        <v>178</v>
      </c>
      <c r="X35" s="41" t="s">
        <v>13</v>
      </c>
      <c r="Y35" s="38"/>
      <c r="Z35" s="37"/>
      <c r="AA35" s="8">
        <v>11</v>
      </c>
      <c r="AB35" s="9" t="s">
        <v>179</v>
      </c>
      <c r="AC35" s="10" t="s">
        <v>11</v>
      </c>
      <c r="AD35" s="38"/>
      <c r="AE35" s="2"/>
      <c r="AF35" s="2"/>
      <c r="AG35" s="2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ht="12.75" customHeight="1">
      <c r="A36" s="2"/>
      <c r="B36" s="8">
        <v>12</v>
      </c>
      <c r="C36" s="9" t="s">
        <v>180</v>
      </c>
      <c r="D36" s="10" t="s">
        <v>13</v>
      </c>
      <c r="E36" s="38"/>
      <c r="F36" s="37"/>
      <c r="G36" s="8">
        <v>12</v>
      </c>
      <c r="H36" s="9" t="s">
        <v>181</v>
      </c>
      <c r="I36" s="10" t="s">
        <v>11</v>
      </c>
      <c r="J36" s="38"/>
      <c r="K36" s="37"/>
      <c r="L36" s="39">
        <v>12</v>
      </c>
      <c r="M36" s="40" t="s">
        <v>182</v>
      </c>
      <c r="N36" s="10" t="s">
        <v>11</v>
      </c>
      <c r="O36" s="36"/>
      <c r="P36" s="37"/>
      <c r="Q36" s="39">
        <v>12</v>
      </c>
      <c r="R36" s="40" t="s">
        <v>183</v>
      </c>
      <c r="S36" s="10" t="s">
        <v>11</v>
      </c>
      <c r="T36" s="38"/>
      <c r="U36" s="37"/>
      <c r="V36" s="8">
        <v>12</v>
      </c>
      <c r="W36" s="9" t="s">
        <v>184</v>
      </c>
      <c r="X36" s="41" t="s">
        <v>13</v>
      </c>
      <c r="Y36" s="44"/>
      <c r="Z36" s="37"/>
      <c r="AA36" s="8">
        <v>12</v>
      </c>
      <c r="AB36" s="9" t="s">
        <v>185</v>
      </c>
      <c r="AC36" s="10" t="s">
        <v>11</v>
      </c>
      <c r="AD36" s="38"/>
      <c r="AE36" s="2"/>
      <c r="AF36" s="2"/>
      <c r="AG36" s="2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ht="12.75" customHeight="1">
      <c r="A37" s="2"/>
      <c r="B37" s="8">
        <v>13</v>
      </c>
      <c r="C37" s="40" t="s">
        <v>186</v>
      </c>
      <c r="D37" s="10" t="s">
        <v>13</v>
      </c>
      <c r="E37" s="38"/>
      <c r="F37" s="37"/>
      <c r="G37" s="8">
        <v>13</v>
      </c>
      <c r="H37" s="9" t="s">
        <v>187</v>
      </c>
      <c r="I37" s="10" t="s">
        <v>13</v>
      </c>
      <c r="J37" s="38"/>
      <c r="K37" s="37"/>
      <c r="L37" s="39">
        <v>13</v>
      </c>
      <c r="M37" s="40" t="s">
        <v>188</v>
      </c>
      <c r="N37" s="10" t="s">
        <v>13</v>
      </c>
      <c r="O37" s="36"/>
      <c r="P37" s="37"/>
      <c r="Q37" s="39">
        <v>13</v>
      </c>
      <c r="R37" s="45" t="s">
        <v>189</v>
      </c>
      <c r="S37" s="10" t="s">
        <v>11</v>
      </c>
      <c r="T37" s="38"/>
      <c r="U37" s="37"/>
      <c r="V37" s="8">
        <v>13</v>
      </c>
      <c r="W37" s="9" t="s">
        <v>190</v>
      </c>
      <c r="X37" s="41" t="s">
        <v>13</v>
      </c>
      <c r="Y37" s="38"/>
      <c r="Z37" s="37"/>
      <c r="AA37" s="8">
        <v>13</v>
      </c>
      <c r="AB37" s="9" t="s">
        <v>191</v>
      </c>
      <c r="AC37" s="16" t="s">
        <v>13</v>
      </c>
      <c r="AD37" s="38"/>
      <c r="AE37" s="2"/>
      <c r="AF37" s="2"/>
      <c r="AG37" s="2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ht="12.75" customHeight="1">
      <c r="A38" s="2"/>
      <c r="B38" s="8"/>
      <c r="C38" s="45"/>
      <c r="D38" s="10"/>
      <c r="E38" s="38"/>
      <c r="F38" s="37"/>
      <c r="G38" s="8"/>
      <c r="H38" s="45"/>
      <c r="I38" s="10"/>
      <c r="J38" s="38"/>
      <c r="K38" s="37"/>
      <c r="L38" s="39">
        <v>14</v>
      </c>
      <c r="M38" s="40" t="s">
        <v>192</v>
      </c>
      <c r="N38" s="10" t="s">
        <v>13</v>
      </c>
      <c r="O38" s="36"/>
      <c r="P38" s="37"/>
      <c r="Q38" s="39">
        <v>14</v>
      </c>
      <c r="R38" s="40" t="s">
        <v>193</v>
      </c>
      <c r="S38" s="10" t="s">
        <v>11</v>
      </c>
      <c r="T38" s="38"/>
      <c r="U38" s="37"/>
      <c r="V38" s="8"/>
      <c r="W38" s="9"/>
      <c r="X38" s="16"/>
      <c r="Y38" s="38"/>
      <c r="Z38" s="37"/>
      <c r="AA38" s="8"/>
      <c r="AB38" s="9"/>
      <c r="AC38" s="16"/>
      <c r="AD38" s="38"/>
      <c r="AE38" s="2"/>
      <c r="AF38" s="2"/>
      <c r="AG38" s="2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ht="12.75" customHeight="1">
      <c r="A39" s="2"/>
      <c r="B39" s="8"/>
      <c r="C39" s="45"/>
      <c r="D39" s="10"/>
      <c r="E39" s="38"/>
      <c r="F39" s="37"/>
      <c r="G39" s="8"/>
      <c r="H39" s="45"/>
      <c r="I39" s="10"/>
      <c r="J39" s="38"/>
      <c r="K39" s="37"/>
      <c r="L39" s="39">
        <v>15</v>
      </c>
      <c r="M39" s="40" t="s">
        <v>194</v>
      </c>
      <c r="N39" s="10" t="s">
        <v>13</v>
      </c>
      <c r="O39" s="36"/>
      <c r="P39" s="37"/>
      <c r="Q39" s="39">
        <v>15</v>
      </c>
      <c r="R39" s="40" t="s">
        <v>195</v>
      </c>
      <c r="S39" s="10" t="s">
        <v>11</v>
      </c>
      <c r="T39" s="38"/>
      <c r="U39" s="37"/>
      <c r="V39" s="8"/>
      <c r="W39" s="9"/>
      <c r="X39" s="16"/>
      <c r="Y39" s="38"/>
      <c r="Z39" s="37"/>
      <c r="AA39" s="8"/>
      <c r="AB39" s="9"/>
      <c r="AC39" s="16"/>
      <c r="AD39" s="38"/>
      <c r="AE39" s="26" t="s">
        <v>108</v>
      </c>
      <c r="AF39" s="26" t="s">
        <v>13</v>
      </c>
      <c r="AG39" s="27" t="s">
        <v>109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ht="12.75" customHeight="1">
      <c r="A40" s="1"/>
      <c r="B40" s="29" t="s">
        <v>108</v>
      </c>
      <c r="C40" s="30">
        <f>COUNTIF($D$25:$D$39,"-")</f>
        <v>8</v>
      </c>
      <c r="D40" s="30" t="s">
        <v>13</v>
      </c>
      <c r="E40" s="31">
        <f>COUNTIF($D$25:$D$39,"여")</f>
        <v>5</v>
      </c>
      <c r="F40" s="32"/>
      <c r="G40" s="29" t="s">
        <v>108</v>
      </c>
      <c r="H40" s="30">
        <f>COUNTIF(I25:I39,"-")</f>
        <v>9</v>
      </c>
      <c r="I40" s="30" t="s">
        <v>13</v>
      </c>
      <c r="J40" s="31">
        <f>COUNTIF($I$25:$I$39,"여")</f>
        <v>4</v>
      </c>
      <c r="K40" s="32"/>
      <c r="L40" s="29" t="s">
        <v>108</v>
      </c>
      <c r="M40" s="30">
        <f>COUNTIF(N25:N39,"-")</f>
        <v>11</v>
      </c>
      <c r="N40" s="30" t="s">
        <v>13</v>
      </c>
      <c r="O40" s="31">
        <f>COUNTIF($N$25:$N$39,"여")</f>
        <v>4</v>
      </c>
      <c r="P40" s="32"/>
      <c r="Q40" s="29" t="s">
        <v>108</v>
      </c>
      <c r="R40" s="30">
        <f>COUNTIF(S25:S39,"-")</f>
        <v>10</v>
      </c>
      <c r="S40" s="30" t="s">
        <v>13</v>
      </c>
      <c r="T40" s="31">
        <f>COUNTIF($S$25:$S$39,"여")</f>
        <v>5</v>
      </c>
      <c r="U40" s="32"/>
      <c r="V40" s="29" t="s">
        <v>108</v>
      </c>
      <c r="W40" s="30">
        <f>COUNTIF(X25:X39,"-")</f>
        <v>5</v>
      </c>
      <c r="X40" s="30" t="s">
        <v>13</v>
      </c>
      <c r="Y40" s="31">
        <f>COUNTIF($X$25:$X$39,"여")</f>
        <v>8</v>
      </c>
      <c r="Z40" s="32"/>
      <c r="AA40" s="29" t="s">
        <v>108</v>
      </c>
      <c r="AB40" s="30">
        <f>COUNTIF(AC25:AC39,"-")</f>
        <v>7</v>
      </c>
      <c r="AC40" s="30" t="s">
        <v>13</v>
      </c>
      <c r="AD40" s="31">
        <f>COUNTIF($AC$25:$AC$39,"여")</f>
        <v>6</v>
      </c>
      <c r="AE40" s="26">
        <f>SUM(C40,H40,M40,R40,W40,AB40)</f>
        <v>50</v>
      </c>
      <c r="AF40" s="26">
        <f>SUM(E40,J40,O40,T40,Y40,AD40)</f>
        <v>32</v>
      </c>
      <c r="AG40" s="33">
        <f>SUM(AE40:AF40)</f>
        <v>82</v>
      </c>
      <c r="AH40" s="1"/>
      <c r="AI40" s="2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ht="4.5" customHeight="1">
      <c r="A41" s="1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2"/>
      <c r="AF41" s="2"/>
      <c r="AG41" s="2"/>
      <c r="AH41" s="1"/>
      <c r="AI41" s="2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ht="12.75" customHeight="1">
      <c r="A42" s="1"/>
      <c r="B42" s="61" t="s">
        <v>196</v>
      </c>
      <c r="C42" s="59"/>
      <c r="D42" s="59"/>
      <c r="E42" s="60"/>
      <c r="F42" s="32"/>
      <c r="G42" s="61" t="s">
        <v>197</v>
      </c>
      <c r="H42" s="59"/>
      <c r="I42" s="59"/>
      <c r="J42" s="60"/>
      <c r="K42" s="32"/>
      <c r="L42" s="62" t="s">
        <v>198</v>
      </c>
      <c r="M42" s="59"/>
      <c r="N42" s="59"/>
      <c r="O42" s="60"/>
      <c r="P42" s="32"/>
      <c r="Q42" s="62" t="s">
        <v>199</v>
      </c>
      <c r="R42" s="59"/>
      <c r="S42" s="59"/>
      <c r="T42" s="60"/>
      <c r="U42" s="32"/>
      <c r="V42" s="58" t="s">
        <v>200</v>
      </c>
      <c r="W42" s="59"/>
      <c r="X42" s="59"/>
      <c r="Y42" s="60"/>
      <c r="Z42" s="32"/>
      <c r="AA42" s="58" t="s">
        <v>201</v>
      </c>
      <c r="AB42" s="59"/>
      <c r="AC42" s="59"/>
      <c r="AD42" s="60"/>
      <c r="AE42" s="2"/>
      <c r="AF42" s="2"/>
      <c r="AG42" s="2"/>
      <c r="AH42" s="1"/>
      <c r="AI42" s="2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ht="12.75" customHeight="1">
      <c r="A43" s="1"/>
      <c r="B43" s="4" t="s">
        <v>7</v>
      </c>
      <c r="C43" s="5" t="s">
        <v>8</v>
      </c>
      <c r="D43" s="5" t="s">
        <v>9</v>
      </c>
      <c r="E43" s="6" t="s">
        <v>10</v>
      </c>
      <c r="F43" s="7"/>
      <c r="G43" s="4" t="s">
        <v>7</v>
      </c>
      <c r="H43" s="5" t="s">
        <v>8</v>
      </c>
      <c r="I43" s="5" t="s">
        <v>9</v>
      </c>
      <c r="J43" s="6" t="s">
        <v>10</v>
      </c>
      <c r="K43" s="7"/>
      <c r="L43" s="4" t="s">
        <v>7</v>
      </c>
      <c r="M43" s="5" t="s">
        <v>8</v>
      </c>
      <c r="N43" s="5" t="s">
        <v>9</v>
      </c>
      <c r="O43" s="6" t="s">
        <v>10</v>
      </c>
      <c r="P43" s="7"/>
      <c r="Q43" s="4" t="s">
        <v>7</v>
      </c>
      <c r="R43" s="5" t="s">
        <v>8</v>
      </c>
      <c r="S43" s="5" t="s">
        <v>9</v>
      </c>
      <c r="T43" s="6" t="s">
        <v>10</v>
      </c>
      <c r="U43" s="7"/>
      <c r="V43" s="4" t="s">
        <v>7</v>
      </c>
      <c r="W43" s="5" t="s">
        <v>8</v>
      </c>
      <c r="X43" s="5" t="s">
        <v>9</v>
      </c>
      <c r="Y43" s="6" t="s">
        <v>10</v>
      </c>
      <c r="Z43" s="7"/>
      <c r="AA43" s="4" t="s">
        <v>7</v>
      </c>
      <c r="AB43" s="5" t="s">
        <v>8</v>
      </c>
      <c r="AC43" s="5" t="s">
        <v>9</v>
      </c>
      <c r="AD43" s="6" t="s">
        <v>10</v>
      </c>
      <c r="AE43" s="2"/>
      <c r="AF43" s="2"/>
      <c r="AG43" s="2"/>
      <c r="AH43" s="1"/>
      <c r="AI43" s="2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ht="12.75" customHeight="1">
      <c r="A44" s="2"/>
      <c r="B44" s="8">
        <v>1</v>
      </c>
      <c r="C44" s="40" t="s">
        <v>202</v>
      </c>
      <c r="D44" s="10" t="s">
        <v>11</v>
      </c>
      <c r="E44" s="38"/>
      <c r="F44" s="37"/>
      <c r="G44" s="8">
        <v>1</v>
      </c>
      <c r="H44" s="40" t="s">
        <v>203</v>
      </c>
      <c r="I44" s="10" t="s">
        <v>11</v>
      </c>
      <c r="J44" s="38"/>
      <c r="K44" s="37"/>
      <c r="L44" s="8">
        <v>1</v>
      </c>
      <c r="M44" s="45" t="s">
        <v>204</v>
      </c>
      <c r="N44" s="46" t="s">
        <v>11</v>
      </c>
      <c r="O44" s="38"/>
      <c r="P44" s="37"/>
      <c r="Q44" s="8">
        <v>1</v>
      </c>
      <c r="R44" s="45" t="s">
        <v>205</v>
      </c>
      <c r="S44" s="9" t="s">
        <v>11</v>
      </c>
      <c r="T44" s="38"/>
      <c r="U44" s="37"/>
      <c r="V44" s="8">
        <v>1</v>
      </c>
      <c r="W44" s="9" t="s">
        <v>206</v>
      </c>
      <c r="X44" s="41" t="s">
        <v>13</v>
      </c>
      <c r="Y44" s="38"/>
      <c r="Z44" s="37"/>
      <c r="AA44" s="8">
        <v>1</v>
      </c>
      <c r="AB44" s="9" t="s">
        <v>207</v>
      </c>
      <c r="AC44" s="41" t="s">
        <v>13</v>
      </c>
      <c r="AD44" s="38"/>
      <c r="AE44" s="2"/>
      <c r="AF44" s="2"/>
      <c r="AG44" s="2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ht="12.75" customHeight="1">
      <c r="A45" s="2"/>
      <c r="B45" s="8">
        <v>2</v>
      </c>
      <c r="C45" s="40" t="s">
        <v>208</v>
      </c>
      <c r="D45" s="10" t="s">
        <v>11</v>
      </c>
      <c r="E45" s="38"/>
      <c r="F45" s="37"/>
      <c r="G45" s="8">
        <v>2</v>
      </c>
      <c r="H45" s="40" t="s">
        <v>209</v>
      </c>
      <c r="I45" s="10" t="s">
        <v>11</v>
      </c>
      <c r="J45" s="38"/>
      <c r="K45" s="37"/>
      <c r="L45" s="8">
        <v>2</v>
      </c>
      <c r="M45" s="45" t="s">
        <v>210</v>
      </c>
      <c r="N45" s="46" t="s">
        <v>11</v>
      </c>
      <c r="O45" s="38"/>
      <c r="P45" s="37"/>
      <c r="Q45" s="8">
        <v>2</v>
      </c>
      <c r="R45" s="45" t="s">
        <v>211</v>
      </c>
      <c r="S45" s="10" t="s">
        <v>11</v>
      </c>
      <c r="T45" s="38"/>
      <c r="U45" s="37"/>
      <c r="V45" s="8">
        <v>2</v>
      </c>
      <c r="W45" s="9" t="s">
        <v>212</v>
      </c>
      <c r="X45" s="41" t="s">
        <v>13</v>
      </c>
      <c r="Y45" s="38"/>
      <c r="Z45" s="37"/>
      <c r="AA45" s="8">
        <v>2</v>
      </c>
      <c r="AB45" s="9" t="s">
        <v>213</v>
      </c>
      <c r="AC45" s="41" t="s">
        <v>13</v>
      </c>
      <c r="AD45" s="38"/>
      <c r="AE45" s="2"/>
      <c r="AF45" s="2"/>
      <c r="AG45" s="2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ht="12.75" customHeight="1">
      <c r="A46" s="2"/>
      <c r="B46" s="8">
        <v>3</v>
      </c>
      <c r="C46" s="40" t="s">
        <v>214</v>
      </c>
      <c r="D46" s="10" t="s">
        <v>13</v>
      </c>
      <c r="E46" s="38"/>
      <c r="F46" s="37"/>
      <c r="G46" s="8">
        <v>3</v>
      </c>
      <c r="H46" s="40" t="s">
        <v>215</v>
      </c>
      <c r="I46" s="10" t="s">
        <v>11</v>
      </c>
      <c r="J46" s="38"/>
      <c r="K46" s="37"/>
      <c r="L46" s="8">
        <v>3</v>
      </c>
      <c r="M46" s="45" t="s">
        <v>216</v>
      </c>
      <c r="N46" s="9" t="s">
        <v>11</v>
      </c>
      <c r="O46" s="38"/>
      <c r="P46" s="37"/>
      <c r="Q46" s="8">
        <v>3</v>
      </c>
      <c r="R46" s="45" t="s">
        <v>217</v>
      </c>
      <c r="S46" s="10" t="s">
        <v>11</v>
      </c>
      <c r="T46" s="38"/>
      <c r="U46" s="37"/>
      <c r="V46" s="8">
        <v>3</v>
      </c>
      <c r="W46" s="9" t="s">
        <v>218</v>
      </c>
      <c r="X46" s="10" t="s">
        <v>11</v>
      </c>
      <c r="Y46" s="38"/>
      <c r="Z46" s="37"/>
      <c r="AA46" s="8">
        <v>3</v>
      </c>
      <c r="AB46" s="9" t="s">
        <v>219</v>
      </c>
      <c r="AC46" s="41" t="s">
        <v>13</v>
      </c>
      <c r="AD46" s="38"/>
      <c r="AE46" s="2"/>
      <c r="AF46" s="2"/>
      <c r="AG46" s="2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ht="12.75" customHeight="1">
      <c r="A47" s="2"/>
      <c r="B47" s="8">
        <v>4</v>
      </c>
      <c r="C47" s="40" t="s">
        <v>220</v>
      </c>
      <c r="D47" s="10" t="s">
        <v>11</v>
      </c>
      <c r="E47" s="38"/>
      <c r="F47" s="37"/>
      <c r="G47" s="8">
        <v>4</v>
      </c>
      <c r="H47" s="40" t="s">
        <v>221</v>
      </c>
      <c r="I47" s="10" t="s">
        <v>11</v>
      </c>
      <c r="J47" s="38"/>
      <c r="K47" s="37"/>
      <c r="L47" s="8">
        <v>4</v>
      </c>
      <c r="M47" s="45" t="s">
        <v>222</v>
      </c>
      <c r="N47" s="46" t="s">
        <v>11</v>
      </c>
      <c r="O47" s="38"/>
      <c r="P47" s="37"/>
      <c r="Q47" s="8">
        <v>4</v>
      </c>
      <c r="R47" s="45" t="s">
        <v>223</v>
      </c>
      <c r="S47" s="10" t="s">
        <v>11</v>
      </c>
      <c r="T47" s="38"/>
      <c r="U47" s="37"/>
      <c r="V47" s="8">
        <v>4</v>
      </c>
      <c r="W47" s="9" t="s">
        <v>224</v>
      </c>
      <c r="X47" s="10" t="s">
        <v>11</v>
      </c>
      <c r="Y47" s="38"/>
      <c r="Z47" s="37"/>
      <c r="AA47" s="8">
        <v>4</v>
      </c>
      <c r="AB47" s="9" t="s">
        <v>225</v>
      </c>
      <c r="AC47" s="10" t="s">
        <v>11</v>
      </c>
      <c r="AD47" s="38"/>
      <c r="AE47" s="2"/>
      <c r="AF47" s="2"/>
      <c r="AG47" s="2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ht="12.75" customHeight="1">
      <c r="A48" s="2"/>
      <c r="B48" s="8">
        <v>5</v>
      </c>
      <c r="C48" s="40" t="s">
        <v>226</v>
      </c>
      <c r="D48" s="10" t="s">
        <v>13</v>
      </c>
      <c r="E48" s="38"/>
      <c r="F48" s="37"/>
      <c r="G48" s="8">
        <v>5</v>
      </c>
      <c r="H48" s="40" t="s">
        <v>227</v>
      </c>
      <c r="I48" s="10" t="s">
        <v>11</v>
      </c>
      <c r="J48" s="38"/>
      <c r="K48" s="37"/>
      <c r="L48" s="8">
        <v>5</v>
      </c>
      <c r="M48" s="45" t="s">
        <v>228</v>
      </c>
      <c r="N48" s="46" t="s">
        <v>11</v>
      </c>
      <c r="O48" s="38"/>
      <c r="P48" s="37"/>
      <c r="Q48" s="8">
        <v>5</v>
      </c>
      <c r="R48" s="45" t="s">
        <v>229</v>
      </c>
      <c r="S48" s="10" t="s">
        <v>11</v>
      </c>
      <c r="T48" s="38"/>
      <c r="U48" s="37"/>
      <c r="V48" s="8">
        <v>5</v>
      </c>
      <c r="W48" s="9" t="s">
        <v>230</v>
      </c>
      <c r="X48" s="41" t="s">
        <v>13</v>
      </c>
      <c r="Y48" s="38"/>
      <c r="Z48" s="37"/>
      <c r="AA48" s="8">
        <v>5</v>
      </c>
      <c r="AB48" s="9" t="s">
        <v>231</v>
      </c>
      <c r="AC48" s="41" t="s">
        <v>13</v>
      </c>
      <c r="AD48" s="38"/>
      <c r="AE48" s="2"/>
      <c r="AF48" s="2"/>
      <c r="AG48" s="2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ht="12.75" customHeight="1">
      <c r="A49" s="2"/>
      <c r="B49" s="8">
        <v>6</v>
      </c>
      <c r="C49" s="40" t="s">
        <v>232</v>
      </c>
      <c r="D49" s="10" t="s">
        <v>11</v>
      </c>
      <c r="E49" s="38"/>
      <c r="F49" s="37"/>
      <c r="G49" s="8">
        <v>6</v>
      </c>
      <c r="H49" s="40" t="s">
        <v>233</v>
      </c>
      <c r="I49" s="10" t="s">
        <v>11</v>
      </c>
      <c r="J49" s="38"/>
      <c r="K49" s="37"/>
      <c r="L49" s="8">
        <v>6</v>
      </c>
      <c r="M49" s="45" t="s">
        <v>234</v>
      </c>
      <c r="N49" s="46" t="s">
        <v>11</v>
      </c>
      <c r="O49" s="38"/>
      <c r="P49" s="37"/>
      <c r="Q49" s="8">
        <v>6</v>
      </c>
      <c r="R49" s="45" t="s">
        <v>235</v>
      </c>
      <c r="S49" s="10" t="s">
        <v>13</v>
      </c>
      <c r="T49" s="38"/>
      <c r="U49" s="37"/>
      <c r="V49" s="8">
        <v>6</v>
      </c>
      <c r="W49" s="9" t="s">
        <v>236</v>
      </c>
      <c r="X49" s="41" t="s">
        <v>13</v>
      </c>
      <c r="Y49" s="38"/>
      <c r="Z49" s="37"/>
      <c r="AA49" s="8">
        <v>6</v>
      </c>
      <c r="AB49" s="9" t="s">
        <v>237</v>
      </c>
      <c r="AC49" s="10" t="s">
        <v>11</v>
      </c>
      <c r="AD49" s="38"/>
      <c r="AE49" s="2"/>
      <c r="AF49" s="2"/>
      <c r="AG49" s="2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ht="12.75" customHeight="1">
      <c r="A50" s="2"/>
      <c r="B50" s="8">
        <v>7</v>
      </c>
      <c r="C50" s="40" t="s">
        <v>238</v>
      </c>
      <c r="D50" s="10" t="s">
        <v>11</v>
      </c>
      <c r="E50" s="38"/>
      <c r="F50" s="37"/>
      <c r="G50" s="8">
        <v>7</v>
      </c>
      <c r="H50" s="40" t="s">
        <v>239</v>
      </c>
      <c r="I50" s="10" t="s">
        <v>13</v>
      </c>
      <c r="J50" s="38"/>
      <c r="K50" s="37"/>
      <c r="L50" s="8">
        <v>7</v>
      </c>
      <c r="M50" s="45" t="s">
        <v>240</v>
      </c>
      <c r="N50" s="46" t="s">
        <v>11</v>
      </c>
      <c r="O50" s="38"/>
      <c r="P50" s="37"/>
      <c r="Q50" s="8">
        <v>7</v>
      </c>
      <c r="R50" s="45" t="s">
        <v>241</v>
      </c>
      <c r="S50" s="10" t="s">
        <v>11</v>
      </c>
      <c r="T50" s="38"/>
      <c r="U50" s="37"/>
      <c r="V50" s="8">
        <v>7</v>
      </c>
      <c r="W50" s="9" t="s">
        <v>64</v>
      </c>
      <c r="X50" s="41" t="s">
        <v>13</v>
      </c>
      <c r="Y50" s="38"/>
      <c r="Z50" s="37"/>
      <c r="AA50" s="8">
        <v>7</v>
      </c>
      <c r="AB50" s="9" t="s">
        <v>54</v>
      </c>
      <c r="AC50" s="10" t="s">
        <v>11</v>
      </c>
      <c r="AD50" s="38"/>
      <c r="AE50" s="2"/>
      <c r="AF50" s="2"/>
      <c r="AG50" s="2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ht="12.75" customHeight="1">
      <c r="A51" s="2"/>
      <c r="B51" s="8">
        <v>8</v>
      </c>
      <c r="C51" s="40" t="s">
        <v>242</v>
      </c>
      <c r="D51" s="10" t="s">
        <v>11</v>
      </c>
      <c r="E51" s="38"/>
      <c r="F51" s="37"/>
      <c r="G51" s="8">
        <v>8</v>
      </c>
      <c r="H51" s="40" t="s">
        <v>243</v>
      </c>
      <c r="I51" s="10" t="s">
        <v>11</v>
      </c>
      <c r="J51" s="38"/>
      <c r="K51" s="37"/>
      <c r="L51" s="8">
        <v>8</v>
      </c>
      <c r="M51" s="45" t="s">
        <v>244</v>
      </c>
      <c r="N51" s="9" t="s">
        <v>13</v>
      </c>
      <c r="O51" s="38"/>
      <c r="P51" s="37"/>
      <c r="Q51" s="8">
        <v>8</v>
      </c>
      <c r="R51" s="45" t="s">
        <v>245</v>
      </c>
      <c r="S51" s="10" t="s">
        <v>11</v>
      </c>
      <c r="T51" s="38"/>
      <c r="U51" s="37"/>
      <c r="V51" s="8">
        <v>8</v>
      </c>
      <c r="W51" s="9" t="s">
        <v>246</v>
      </c>
      <c r="X51" s="10" t="s">
        <v>11</v>
      </c>
      <c r="Y51" s="38"/>
      <c r="Z51" s="37"/>
      <c r="AA51" s="8">
        <v>8</v>
      </c>
      <c r="AB51" s="9" t="s">
        <v>247</v>
      </c>
      <c r="AC51" s="41" t="s">
        <v>13</v>
      </c>
      <c r="AD51" s="38"/>
      <c r="AE51" s="2"/>
      <c r="AF51" s="2"/>
      <c r="AG51" s="2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ht="12.75" customHeight="1">
      <c r="A52" s="2"/>
      <c r="B52" s="8">
        <v>9</v>
      </c>
      <c r="C52" s="40" t="s">
        <v>248</v>
      </c>
      <c r="D52" s="14" t="s">
        <v>11</v>
      </c>
      <c r="E52" s="38"/>
      <c r="F52" s="37"/>
      <c r="G52" s="8">
        <v>9</v>
      </c>
      <c r="H52" s="40" t="s">
        <v>249</v>
      </c>
      <c r="I52" s="14" t="s">
        <v>11</v>
      </c>
      <c r="J52" s="38"/>
      <c r="K52" s="37"/>
      <c r="L52" s="8">
        <v>9</v>
      </c>
      <c r="M52" s="45" t="s">
        <v>250</v>
      </c>
      <c r="N52" s="9" t="s">
        <v>13</v>
      </c>
      <c r="O52" s="38"/>
      <c r="P52" s="37"/>
      <c r="Q52" s="8">
        <v>9</v>
      </c>
      <c r="R52" s="45" t="s">
        <v>251</v>
      </c>
      <c r="S52" s="10" t="s">
        <v>11</v>
      </c>
      <c r="T52" s="38"/>
      <c r="U52" s="37"/>
      <c r="V52" s="8">
        <v>9</v>
      </c>
      <c r="W52" s="9" t="s">
        <v>252</v>
      </c>
      <c r="X52" s="10" t="s">
        <v>11</v>
      </c>
      <c r="Y52" s="38"/>
      <c r="Z52" s="37"/>
      <c r="AA52" s="8">
        <v>9</v>
      </c>
      <c r="AB52" s="9" t="s">
        <v>253</v>
      </c>
      <c r="AC52" s="41" t="s">
        <v>13</v>
      </c>
      <c r="AD52" s="38"/>
      <c r="AE52" s="2"/>
      <c r="AF52" s="2"/>
      <c r="AG52" s="2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ht="12.75" customHeight="1">
      <c r="A53" s="2"/>
      <c r="B53" s="8">
        <v>10</v>
      </c>
      <c r="C53" s="40" t="s">
        <v>254</v>
      </c>
      <c r="D53" s="14" t="s">
        <v>13</v>
      </c>
      <c r="E53" s="38"/>
      <c r="F53" s="37"/>
      <c r="G53" s="8">
        <v>10</v>
      </c>
      <c r="H53" s="40" t="s">
        <v>255</v>
      </c>
      <c r="I53" s="10" t="s">
        <v>11</v>
      </c>
      <c r="J53" s="38"/>
      <c r="K53" s="37"/>
      <c r="L53" s="8">
        <v>10</v>
      </c>
      <c r="M53" s="45" t="s">
        <v>256</v>
      </c>
      <c r="N53" s="46" t="s">
        <v>11</v>
      </c>
      <c r="O53" s="38"/>
      <c r="P53" s="37"/>
      <c r="Q53" s="8">
        <v>10</v>
      </c>
      <c r="R53" s="45" t="s">
        <v>257</v>
      </c>
      <c r="S53" s="10" t="s">
        <v>11</v>
      </c>
      <c r="T53" s="38"/>
      <c r="U53" s="37"/>
      <c r="V53" s="8">
        <v>10</v>
      </c>
      <c r="W53" s="9" t="s">
        <v>258</v>
      </c>
      <c r="X53" s="41" t="s">
        <v>13</v>
      </c>
      <c r="Y53" s="38"/>
      <c r="Z53" s="37"/>
      <c r="AA53" s="8">
        <v>10</v>
      </c>
      <c r="AB53" s="9" t="s">
        <v>259</v>
      </c>
      <c r="AC53" s="10" t="s">
        <v>11</v>
      </c>
      <c r="AD53" s="38"/>
      <c r="AE53" s="2"/>
      <c r="AF53" s="2"/>
      <c r="AG53" s="2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ht="12.75" customHeight="1">
      <c r="A54" s="2"/>
      <c r="B54" s="8">
        <v>11</v>
      </c>
      <c r="C54" s="40" t="s">
        <v>260</v>
      </c>
      <c r="D54" s="10" t="s">
        <v>11</v>
      </c>
      <c r="E54" s="38"/>
      <c r="F54" s="37"/>
      <c r="G54" s="8">
        <v>11</v>
      </c>
      <c r="H54" s="40" t="s">
        <v>261</v>
      </c>
      <c r="I54" s="10" t="s">
        <v>13</v>
      </c>
      <c r="J54" s="38"/>
      <c r="K54" s="37"/>
      <c r="L54" s="8">
        <v>11</v>
      </c>
      <c r="M54" s="45" t="s">
        <v>262</v>
      </c>
      <c r="N54" s="46" t="s">
        <v>11</v>
      </c>
      <c r="O54" s="36"/>
      <c r="P54" s="37"/>
      <c r="Q54" s="8">
        <v>11</v>
      </c>
      <c r="R54" s="9" t="s">
        <v>263</v>
      </c>
      <c r="S54" s="10" t="s">
        <v>11</v>
      </c>
      <c r="T54" s="38"/>
      <c r="U54" s="37"/>
      <c r="V54" s="8">
        <v>11</v>
      </c>
      <c r="W54" s="9" t="s">
        <v>264</v>
      </c>
      <c r="X54" s="41" t="s">
        <v>13</v>
      </c>
      <c r="Y54" s="38"/>
      <c r="Z54" s="37"/>
      <c r="AA54" s="8">
        <v>11</v>
      </c>
      <c r="AB54" s="9" t="s">
        <v>265</v>
      </c>
      <c r="AC54" s="41" t="s">
        <v>13</v>
      </c>
      <c r="AD54" s="38"/>
      <c r="AE54" s="2"/>
      <c r="AF54" s="2"/>
      <c r="AG54" s="2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ht="12.75" customHeight="1">
      <c r="A55" s="2"/>
      <c r="B55" s="8">
        <v>12</v>
      </c>
      <c r="C55" s="40" t="s">
        <v>266</v>
      </c>
      <c r="D55" s="10" t="s">
        <v>11</v>
      </c>
      <c r="E55" s="38"/>
      <c r="F55" s="37"/>
      <c r="G55" s="8">
        <v>12</v>
      </c>
      <c r="H55" s="40" t="s">
        <v>267</v>
      </c>
      <c r="I55" s="10" t="s">
        <v>11</v>
      </c>
      <c r="J55" s="38"/>
      <c r="K55" s="37"/>
      <c r="L55" s="8">
        <v>12</v>
      </c>
      <c r="M55" s="45" t="s">
        <v>268</v>
      </c>
      <c r="N55" s="46" t="s">
        <v>11</v>
      </c>
      <c r="O55" s="38"/>
      <c r="P55" s="37"/>
      <c r="Q55" s="8">
        <v>12</v>
      </c>
      <c r="R55" s="45" t="s">
        <v>269</v>
      </c>
      <c r="S55" s="16" t="s">
        <v>11</v>
      </c>
      <c r="T55" s="38"/>
      <c r="U55" s="37"/>
      <c r="V55" s="8">
        <v>12</v>
      </c>
      <c r="W55" s="9" t="s">
        <v>270</v>
      </c>
      <c r="X55" s="10" t="s">
        <v>11</v>
      </c>
      <c r="Y55" s="38"/>
      <c r="Z55" s="37"/>
      <c r="AA55" s="8">
        <v>12</v>
      </c>
      <c r="AB55" s="9" t="s">
        <v>271</v>
      </c>
      <c r="AC55" s="41" t="s">
        <v>13</v>
      </c>
      <c r="AD55" s="38"/>
      <c r="AE55" s="2"/>
      <c r="AF55" s="2"/>
      <c r="AG55" s="2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ht="12.75" customHeight="1">
      <c r="A56" s="2"/>
      <c r="B56" s="8">
        <v>13</v>
      </c>
      <c r="C56" s="40" t="s">
        <v>272</v>
      </c>
      <c r="D56" s="10" t="s">
        <v>11</v>
      </c>
      <c r="E56" s="38"/>
      <c r="F56" s="37"/>
      <c r="G56" s="8">
        <v>13</v>
      </c>
      <c r="H56" s="40" t="s">
        <v>273</v>
      </c>
      <c r="I56" s="10" t="s">
        <v>11</v>
      </c>
      <c r="J56" s="38"/>
      <c r="K56" s="37"/>
      <c r="L56" s="8">
        <v>13</v>
      </c>
      <c r="M56" s="45" t="s">
        <v>274</v>
      </c>
      <c r="N56" s="46" t="s">
        <v>11</v>
      </c>
      <c r="O56" s="38"/>
      <c r="P56" s="37"/>
      <c r="Q56" s="8">
        <v>13</v>
      </c>
      <c r="R56" s="45" t="s">
        <v>275</v>
      </c>
      <c r="S56" s="9" t="s">
        <v>13</v>
      </c>
      <c r="T56" s="38"/>
      <c r="U56" s="37"/>
      <c r="V56" s="8">
        <v>13</v>
      </c>
      <c r="W56" s="9" t="s">
        <v>276</v>
      </c>
      <c r="X56" s="41" t="s">
        <v>13</v>
      </c>
      <c r="Y56" s="38"/>
      <c r="Z56" s="37"/>
      <c r="AA56" s="8">
        <v>13</v>
      </c>
      <c r="AB56" s="9" t="s">
        <v>277</v>
      </c>
      <c r="AC56" s="10" t="s">
        <v>11</v>
      </c>
      <c r="AD56" s="38"/>
      <c r="AE56" s="2"/>
      <c r="AF56" s="2"/>
      <c r="AG56" s="2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ht="12.75" customHeight="1">
      <c r="A57" s="2"/>
      <c r="B57" s="8"/>
      <c r="C57" s="16"/>
      <c r="D57" s="16"/>
      <c r="E57" s="38"/>
      <c r="F57" s="37"/>
      <c r="G57" s="8"/>
      <c r="H57" s="9"/>
      <c r="I57" s="47"/>
      <c r="J57" s="38"/>
      <c r="K57" s="37"/>
      <c r="L57" s="8">
        <v>14</v>
      </c>
      <c r="M57" s="45" t="s">
        <v>278</v>
      </c>
      <c r="N57" s="9" t="s">
        <v>13</v>
      </c>
      <c r="O57" s="38"/>
      <c r="P57" s="37"/>
      <c r="Q57" s="8">
        <v>14</v>
      </c>
      <c r="R57" s="45" t="s">
        <v>279</v>
      </c>
      <c r="S57" s="46" t="s">
        <v>11</v>
      </c>
      <c r="T57" s="38"/>
      <c r="U57" s="37"/>
      <c r="V57" s="8"/>
      <c r="W57" s="45"/>
      <c r="X57" s="41"/>
      <c r="Y57" s="38"/>
      <c r="Z57" s="37"/>
      <c r="AA57" s="8"/>
      <c r="AB57" s="45"/>
      <c r="AC57" s="41"/>
      <c r="AD57" s="38"/>
      <c r="AE57" s="2"/>
      <c r="AF57" s="2"/>
      <c r="AG57" s="2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ht="12.75" customHeight="1">
      <c r="A58" s="2"/>
      <c r="B58" s="8"/>
      <c r="C58" s="16"/>
      <c r="D58" s="16"/>
      <c r="E58" s="38"/>
      <c r="F58" s="37"/>
      <c r="G58" s="8"/>
      <c r="H58" s="16"/>
      <c r="I58" s="16"/>
      <c r="J58" s="38"/>
      <c r="K58" s="37"/>
      <c r="L58" s="8"/>
      <c r="M58" s="45"/>
      <c r="N58" s="9"/>
      <c r="O58" s="38"/>
      <c r="P58" s="37"/>
      <c r="Q58" s="8">
        <v>15</v>
      </c>
      <c r="R58" s="45" t="s">
        <v>280</v>
      </c>
      <c r="S58" s="10" t="s">
        <v>11</v>
      </c>
      <c r="T58" s="38"/>
      <c r="U58" s="37"/>
      <c r="V58" s="8"/>
      <c r="W58" s="45"/>
      <c r="X58" s="16"/>
      <c r="Y58" s="38"/>
      <c r="Z58" s="37"/>
      <c r="AA58" s="8"/>
      <c r="AB58" s="9"/>
      <c r="AC58" s="16"/>
      <c r="AD58" s="38"/>
      <c r="AE58" s="2"/>
      <c r="AF58" s="2"/>
      <c r="AG58" s="2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ht="12.75" customHeight="1">
      <c r="A59" s="2"/>
      <c r="B59" s="8"/>
      <c r="C59" s="16"/>
      <c r="D59" s="16"/>
      <c r="E59" s="38"/>
      <c r="F59" s="37"/>
      <c r="G59" s="8"/>
      <c r="H59" s="16"/>
      <c r="I59" s="16"/>
      <c r="J59" s="38"/>
      <c r="K59" s="37"/>
      <c r="L59" s="8"/>
      <c r="M59" s="45"/>
      <c r="N59" s="9"/>
      <c r="O59" s="38"/>
      <c r="P59" s="37"/>
      <c r="Q59" s="48"/>
      <c r="R59" s="49"/>
      <c r="S59" s="50"/>
      <c r="T59" s="51"/>
      <c r="U59" s="37"/>
      <c r="V59" s="8"/>
      <c r="W59" s="9"/>
      <c r="X59" s="16"/>
      <c r="Y59" s="38"/>
      <c r="Z59" s="37"/>
      <c r="AA59" s="8"/>
      <c r="AB59" s="9"/>
      <c r="AC59" s="16"/>
      <c r="AD59" s="38"/>
      <c r="AE59" s="26" t="s">
        <v>108</v>
      </c>
      <c r="AF59" s="26" t="s">
        <v>13</v>
      </c>
      <c r="AG59" s="27" t="s">
        <v>109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ht="12.75" customHeight="1">
      <c r="A60" s="1"/>
      <c r="B60" s="29" t="s">
        <v>108</v>
      </c>
      <c r="C60" s="30">
        <f>COUNTIF($D$44:$D$59,"-")</f>
        <v>10</v>
      </c>
      <c r="D60" s="30" t="s">
        <v>13</v>
      </c>
      <c r="E60" s="31">
        <f>COUNTIF($D$44:$D$59,"여")</f>
        <v>3</v>
      </c>
      <c r="F60" s="32"/>
      <c r="G60" s="29" t="s">
        <v>108</v>
      </c>
      <c r="H60" s="30">
        <f>COUNTIF(I44:I59,"-")</f>
        <v>11</v>
      </c>
      <c r="I60" s="30" t="s">
        <v>13</v>
      </c>
      <c r="J60" s="31">
        <f>COUNTIF($I$44:$I$59,"여")</f>
        <v>2</v>
      </c>
      <c r="K60" s="32"/>
      <c r="L60" s="29" t="s">
        <v>108</v>
      </c>
      <c r="M60" s="30">
        <f>COUNTIF(N44:N59,"-")</f>
        <v>11</v>
      </c>
      <c r="N60" s="30" t="s">
        <v>13</v>
      </c>
      <c r="O60" s="31">
        <f>COUNTIF($N$44:$N$59,"여")</f>
        <v>3</v>
      </c>
      <c r="P60" s="32"/>
      <c r="Q60" s="52" t="s">
        <v>108</v>
      </c>
      <c r="R60" s="53">
        <f>COUNTIF(S44:S59,"-")</f>
        <v>13</v>
      </c>
      <c r="S60" s="53" t="s">
        <v>13</v>
      </c>
      <c r="T60" s="54">
        <f>COUNTIF($S$44:$S$59,"여")</f>
        <v>2</v>
      </c>
      <c r="U60" s="32"/>
      <c r="V60" s="29" t="s">
        <v>108</v>
      </c>
      <c r="W60" s="30">
        <f>COUNTIF(X44:X59,"-")</f>
        <v>5</v>
      </c>
      <c r="X60" s="30" t="s">
        <v>13</v>
      </c>
      <c r="Y60" s="31">
        <f>COUNTIF($X$44:$X$59,"여")</f>
        <v>8</v>
      </c>
      <c r="Z60" s="32"/>
      <c r="AA60" s="29" t="s">
        <v>108</v>
      </c>
      <c r="AB60" s="30">
        <f>COUNTIF(AC44:AC59,"-")</f>
        <v>5</v>
      </c>
      <c r="AC60" s="30" t="s">
        <v>13</v>
      </c>
      <c r="AD60" s="31">
        <f>COUNTIF($AC$44:$AC$59,"여")</f>
        <v>8</v>
      </c>
      <c r="AE60" s="26">
        <f>SUM(C60,H60,M60,R60,W60,AB60)</f>
        <v>55</v>
      </c>
      <c r="AF60" s="26">
        <f>SUM(E60,J60,O60,T60,Y60,AD60)</f>
        <v>26</v>
      </c>
      <c r="AG60" s="33">
        <f>SUM(AE60:AF60)</f>
        <v>81</v>
      </c>
      <c r="AH60" s="1"/>
      <c r="AI60" s="1"/>
      <c r="AJ60" s="2"/>
      <c r="AK60" s="2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55">
        <f t="shared" ref="AE61:AG61" si="0">SUM(AE21,AE40,AE60)</f>
        <v>166</v>
      </c>
      <c r="AF61" s="56">
        <f t="shared" si="0"/>
        <v>93</v>
      </c>
      <c r="AG61" s="57">
        <f t="shared" si="0"/>
        <v>259</v>
      </c>
      <c r="AH61" s="1"/>
      <c r="AI61" s="1"/>
      <c r="AJ61" s="2"/>
      <c r="AK61" s="2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2"/>
      <c r="AF62" s="2"/>
      <c r="AG62" s="2"/>
      <c r="AH62" s="1"/>
      <c r="AI62" s="1"/>
      <c r="AJ62" s="2"/>
      <c r="AK62" s="2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2"/>
      <c r="AF63" s="2"/>
      <c r="AG63" s="2"/>
      <c r="AH63" s="1"/>
      <c r="AI63" s="1"/>
      <c r="AJ63" s="2"/>
      <c r="AK63" s="2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2"/>
      <c r="AF64" s="2"/>
      <c r="AG64" s="2"/>
      <c r="AH64" s="1"/>
      <c r="AI64" s="1"/>
      <c r="AJ64" s="2"/>
      <c r="AK64" s="2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2"/>
      <c r="AF65" s="2"/>
      <c r="AG65" s="2"/>
      <c r="AH65" s="1"/>
      <c r="AI65" s="1"/>
      <c r="AJ65" s="2"/>
      <c r="AK65" s="2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2"/>
      <c r="AF66" s="2"/>
      <c r="AG66" s="2"/>
      <c r="AH66" s="1"/>
      <c r="AI66" s="1"/>
      <c r="AJ66" s="2"/>
      <c r="AK66" s="2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2"/>
      <c r="AF67" s="2"/>
      <c r="AG67" s="2"/>
      <c r="AH67" s="1"/>
      <c r="AI67" s="1"/>
      <c r="AJ67" s="2"/>
      <c r="AK67" s="2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2"/>
      <c r="AF68" s="2"/>
      <c r="AG68" s="2"/>
      <c r="AH68" s="1"/>
      <c r="AI68" s="1"/>
      <c r="AJ68" s="2"/>
      <c r="AK68" s="2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2"/>
      <c r="AF69" s="2"/>
      <c r="AG69" s="2"/>
      <c r="AH69" s="1"/>
      <c r="AI69" s="1"/>
      <c r="AJ69" s="2"/>
      <c r="AK69" s="2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2"/>
      <c r="AF70" s="2"/>
      <c r="AG70" s="2"/>
      <c r="AH70" s="1"/>
      <c r="AI70" s="1"/>
      <c r="AJ70" s="2"/>
      <c r="AK70" s="2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2"/>
      <c r="AF71" s="2"/>
      <c r="AG71" s="2"/>
      <c r="AH71" s="1"/>
      <c r="AI71" s="1"/>
      <c r="AJ71" s="2"/>
      <c r="AK71" s="2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2"/>
      <c r="AF72" s="2"/>
      <c r="AG72" s="2"/>
      <c r="AH72" s="1"/>
      <c r="AI72" s="1"/>
      <c r="AJ72" s="2"/>
      <c r="AK72" s="2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2"/>
      <c r="AF73" s="2"/>
      <c r="AG73" s="2"/>
      <c r="AH73" s="1"/>
      <c r="AI73" s="1"/>
      <c r="AJ73" s="2"/>
      <c r="AK73" s="2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2"/>
      <c r="AF74" s="2"/>
      <c r="AG74" s="2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2"/>
      <c r="AF75" s="2"/>
      <c r="AG75" s="2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2"/>
      <c r="AF76" s="2"/>
      <c r="AG76" s="2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2"/>
      <c r="AF77" s="2"/>
      <c r="AG77" s="2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2"/>
      <c r="AF78" s="2"/>
      <c r="AG78" s="2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2"/>
      <c r="AF79" s="2"/>
      <c r="AG79" s="2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2"/>
      <c r="AF80" s="2"/>
      <c r="AG80" s="2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2"/>
      <c r="AF81" s="2"/>
      <c r="AG81" s="2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2"/>
      <c r="AF82" s="2"/>
      <c r="AG82" s="2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2"/>
      <c r="AF83" s="2"/>
      <c r="AG83" s="2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2"/>
      <c r="AF84" s="2"/>
      <c r="AG84" s="2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2"/>
      <c r="AF85" s="2"/>
      <c r="AG85" s="2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2"/>
      <c r="AF86" s="2"/>
      <c r="AG86" s="2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2"/>
      <c r="AF87" s="2"/>
      <c r="AG87" s="2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2"/>
      <c r="AF88" s="2"/>
      <c r="AG88" s="2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2"/>
      <c r="AF89" s="2"/>
      <c r="AG89" s="2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2"/>
      <c r="AF90" s="2"/>
      <c r="AG90" s="2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2"/>
      <c r="AF91" s="2"/>
      <c r="AG91" s="2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2"/>
      <c r="AF92" s="2"/>
      <c r="AG92" s="2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2"/>
      <c r="AF93" s="2"/>
      <c r="AG93" s="2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2"/>
      <c r="AF94" s="2"/>
      <c r="AG94" s="2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2"/>
      <c r="AF95" s="2"/>
      <c r="AG95" s="2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2"/>
      <c r="AF96" s="2"/>
      <c r="AG96" s="2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2"/>
      <c r="AF97" s="2"/>
      <c r="AG97" s="2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2"/>
      <c r="AF98" s="2"/>
      <c r="AG98" s="2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2"/>
      <c r="AF99" s="2"/>
      <c r="AG99" s="2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2"/>
      <c r="AF100" s="2"/>
      <c r="AG100" s="2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2"/>
      <c r="AF101" s="2"/>
      <c r="AG101" s="2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2"/>
      <c r="AF102" s="2"/>
      <c r="AG102" s="2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2"/>
      <c r="AF103" s="2"/>
      <c r="AG103" s="2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2"/>
      <c r="AF104" s="2"/>
      <c r="AG104" s="2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2"/>
      <c r="AF105" s="2"/>
      <c r="AG105" s="2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2"/>
      <c r="AF106" s="2"/>
      <c r="AG106" s="2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2"/>
      <c r="AF107" s="2"/>
      <c r="AG107" s="2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2"/>
      <c r="AF108" s="2"/>
      <c r="AG108" s="2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2"/>
      <c r="AF109" s="2"/>
      <c r="AG109" s="2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2"/>
      <c r="AF110" s="2"/>
      <c r="AG110" s="2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2"/>
      <c r="AF111" s="2"/>
      <c r="AG111" s="2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2"/>
      <c r="AF112" s="2"/>
      <c r="AG112" s="2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2"/>
      <c r="AF113" s="2"/>
      <c r="AG113" s="2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2"/>
      <c r="AF114" s="2"/>
      <c r="AG114" s="2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2"/>
      <c r="AF115" s="2"/>
      <c r="AG115" s="2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2"/>
      <c r="AF116" s="2"/>
      <c r="AG116" s="2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2"/>
      <c r="AF117" s="2"/>
      <c r="AG117" s="2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2"/>
      <c r="AF118" s="2"/>
      <c r="AG118" s="2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2"/>
      <c r="AF119" s="2"/>
      <c r="AG119" s="2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2"/>
      <c r="AF120" s="2"/>
      <c r="AG120" s="2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2"/>
      <c r="AF121" s="2"/>
      <c r="AG121" s="2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2"/>
      <c r="AF122" s="2"/>
      <c r="AG122" s="2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2"/>
      <c r="AF123" s="2"/>
      <c r="AG123" s="2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2"/>
      <c r="AF124" s="2"/>
      <c r="AG124" s="2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2"/>
      <c r="AF125" s="2"/>
      <c r="AG125" s="2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2"/>
      <c r="AF126" s="2"/>
      <c r="AG126" s="2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2"/>
      <c r="AF127" s="2"/>
      <c r="AG127" s="2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2"/>
      <c r="AF128" s="2"/>
      <c r="AG128" s="2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2"/>
      <c r="AF129" s="2"/>
      <c r="AG129" s="2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2"/>
      <c r="AF130" s="2"/>
      <c r="AG130" s="2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2"/>
      <c r="AF131" s="2"/>
      <c r="AG131" s="2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2"/>
      <c r="AF132" s="2"/>
      <c r="AG132" s="2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2"/>
      <c r="AF133" s="2"/>
      <c r="AG133" s="2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2"/>
      <c r="AF134" s="2"/>
      <c r="AG134" s="2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2"/>
      <c r="AF135" s="2"/>
      <c r="AG135" s="2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2"/>
      <c r="AF136" s="2"/>
      <c r="AG136" s="2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2"/>
      <c r="AF137" s="2"/>
      <c r="AG137" s="2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2"/>
      <c r="AF138" s="2"/>
      <c r="AG138" s="2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2"/>
      <c r="AF139" s="2"/>
      <c r="AG139" s="2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2"/>
      <c r="AF140" s="2"/>
      <c r="AG140" s="2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2"/>
      <c r="AF141" s="2"/>
      <c r="AG141" s="2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2"/>
      <c r="AF142" s="2"/>
      <c r="AG142" s="2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2"/>
      <c r="AF143" s="2"/>
      <c r="AG143" s="2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2"/>
      <c r="AF144" s="2"/>
      <c r="AG144" s="2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2"/>
      <c r="AF145" s="2"/>
      <c r="AG145" s="2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2"/>
      <c r="AF146" s="2"/>
      <c r="AG146" s="2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2"/>
      <c r="AF147" s="2"/>
      <c r="AG147" s="2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2"/>
      <c r="AF148" s="2"/>
      <c r="AG148" s="2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2"/>
      <c r="AF149" s="2"/>
      <c r="AG149" s="2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2"/>
      <c r="AF150" s="2"/>
      <c r="AG150" s="2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2"/>
      <c r="AF151" s="2"/>
      <c r="AG151" s="2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2"/>
      <c r="AF152" s="2"/>
      <c r="AG152" s="2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2"/>
      <c r="AF153" s="2"/>
      <c r="AG153" s="2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2"/>
      <c r="AF154" s="2"/>
      <c r="AG154" s="2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2"/>
      <c r="AF155" s="2"/>
      <c r="AG155" s="2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2"/>
      <c r="AF156" s="2"/>
      <c r="AG156" s="2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2"/>
      <c r="AF157" s="2"/>
      <c r="AG157" s="2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2"/>
      <c r="AF158" s="2"/>
      <c r="AG158" s="2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2"/>
      <c r="AF159" s="2"/>
      <c r="AG159" s="2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2"/>
      <c r="AF160" s="2"/>
      <c r="AG160" s="2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2"/>
      <c r="AF161" s="2"/>
      <c r="AG161" s="2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2"/>
      <c r="AF162" s="2"/>
      <c r="AG162" s="2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2"/>
      <c r="AF163" s="2"/>
      <c r="AG163" s="2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2"/>
      <c r="AF164" s="2"/>
      <c r="AG164" s="2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2"/>
      <c r="AF165" s="2"/>
      <c r="AG165" s="2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2"/>
      <c r="AF166" s="2"/>
      <c r="AG166" s="2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2"/>
      <c r="AF167" s="2"/>
      <c r="AG167" s="2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2"/>
      <c r="AF168" s="2"/>
      <c r="AG168" s="2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2"/>
      <c r="AF169" s="2"/>
      <c r="AG169" s="2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2"/>
      <c r="AF170" s="2"/>
      <c r="AG170" s="2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2"/>
      <c r="AF171" s="2"/>
      <c r="AG171" s="2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2"/>
      <c r="AF172" s="2"/>
      <c r="AG172" s="2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2"/>
      <c r="AF173" s="2"/>
      <c r="AG173" s="2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2"/>
      <c r="AF174" s="2"/>
      <c r="AG174" s="2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2"/>
      <c r="AF175" s="2"/>
      <c r="AG175" s="2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2"/>
      <c r="AF176" s="2"/>
      <c r="AG176" s="2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2"/>
      <c r="AF177" s="2"/>
      <c r="AG177" s="2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2"/>
      <c r="AF178" s="2"/>
      <c r="AG178" s="2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2"/>
      <c r="AF179" s="2"/>
      <c r="AG179" s="2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2"/>
      <c r="AF180" s="2"/>
      <c r="AG180" s="2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2"/>
      <c r="AF181" s="2"/>
      <c r="AG181" s="2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2"/>
      <c r="AF182" s="2"/>
      <c r="AG182" s="2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2"/>
      <c r="AF183" s="2"/>
      <c r="AG183" s="2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2"/>
      <c r="AF184" s="2"/>
      <c r="AG184" s="2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2"/>
      <c r="AF185" s="2"/>
      <c r="AG185" s="2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2"/>
      <c r="AF186" s="2"/>
      <c r="AG186" s="2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2"/>
      <c r="AF187" s="2"/>
      <c r="AG187" s="2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2"/>
      <c r="AF188" s="2"/>
      <c r="AG188" s="2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2"/>
      <c r="AF189" s="2"/>
      <c r="AG189" s="2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2"/>
      <c r="AF190" s="2"/>
      <c r="AG190" s="2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2"/>
      <c r="AF191" s="2"/>
      <c r="AG191" s="2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2"/>
      <c r="AF192" s="2"/>
      <c r="AG192" s="2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2"/>
      <c r="AF193" s="2"/>
      <c r="AG193" s="2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2"/>
      <c r="AF194" s="2"/>
      <c r="AG194" s="2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2"/>
      <c r="AF195" s="2"/>
      <c r="AG195" s="2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2"/>
      <c r="AF196" s="2"/>
      <c r="AG196" s="2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2"/>
      <c r="AF197" s="2"/>
      <c r="AG197" s="2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2"/>
      <c r="AF198" s="2"/>
      <c r="AG198" s="2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2"/>
      <c r="AF199" s="2"/>
      <c r="AG199" s="2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2"/>
      <c r="AF200" s="2"/>
      <c r="AG200" s="2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2"/>
      <c r="AF201" s="2"/>
      <c r="AG201" s="2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2"/>
      <c r="AF202" s="2"/>
      <c r="AG202" s="2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2"/>
      <c r="AF203" s="2"/>
      <c r="AG203" s="2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2"/>
      <c r="AF204" s="2"/>
      <c r="AG204" s="2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2"/>
      <c r="AF205" s="2"/>
      <c r="AG205" s="2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2"/>
      <c r="AF206" s="2"/>
      <c r="AG206" s="2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2"/>
      <c r="AF207" s="2"/>
      <c r="AG207" s="2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2"/>
      <c r="AF208" s="2"/>
      <c r="AG208" s="2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2"/>
      <c r="AF209" s="2"/>
      <c r="AG209" s="2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2"/>
      <c r="AF210" s="2"/>
      <c r="AG210" s="2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2"/>
      <c r="AF211" s="2"/>
      <c r="AG211" s="2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2"/>
      <c r="AF212" s="2"/>
      <c r="AG212" s="2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2"/>
      <c r="AF213" s="2"/>
      <c r="AG213" s="2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2"/>
      <c r="AF214" s="2"/>
      <c r="AG214" s="2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2"/>
      <c r="AF215" s="2"/>
      <c r="AG215" s="2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2"/>
      <c r="AF216" s="2"/>
      <c r="AG216" s="2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2"/>
      <c r="AF217" s="2"/>
      <c r="AG217" s="2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2"/>
      <c r="AF218" s="2"/>
      <c r="AG218" s="2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2"/>
      <c r="AF219" s="2"/>
      <c r="AG219" s="2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2"/>
      <c r="AF220" s="2"/>
      <c r="AG220" s="2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2"/>
      <c r="AF221" s="2"/>
      <c r="AG221" s="2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2"/>
      <c r="AF222" s="2"/>
      <c r="AG222" s="2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2"/>
      <c r="AF223" s="2"/>
      <c r="AG223" s="2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2"/>
      <c r="AF224" s="2"/>
      <c r="AG224" s="2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2"/>
      <c r="AF225" s="2"/>
      <c r="AG225" s="2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2"/>
      <c r="AF226" s="2"/>
      <c r="AG226" s="2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2"/>
      <c r="AF227" s="2"/>
      <c r="AG227" s="2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2"/>
      <c r="AF228" s="2"/>
      <c r="AG228" s="2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2"/>
      <c r="AF229" s="2"/>
      <c r="AG229" s="2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2"/>
      <c r="AF230" s="2"/>
      <c r="AG230" s="2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2"/>
      <c r="AF231" s="2"/>
      <c r="AG231" s="2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2"/>
      <c r="AF232" s="2"/>
      <c r="AG232" s="2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2"/>
      <c r="AF233" s="2"/>
      <c r="AG233" s="2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2"/>
      <c r="AF234" s="2"/>
      <c r="AG234" s="2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2"/>
      <c r="AF235" s="2"/>
      <c r="AG235" s="2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2"/>
      <c r="AF236" s="2"/>
      <c r="AG236" s="2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2"/>
      <c r="AF237" s="2"/>
      <c r="AG237" s="2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2"/>
      <c r="AF238" s="2"/>
      <c r="AG238" s="2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2"/>
      <c r="AF239" s="2"/>
      <c r="AG239" s="2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2"/>
      <c r="AF240" s="2"/>
      <c r="AG240" s="2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2"/>
      <c r="AF241" s="2"/>
      <c r="AG241" s="2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2"/>
      <c r="AF242" s="2"/>
      <c r="AG242" s="2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2"/>
      <c r="AF243" s="2"/>
      <c r="AG243" s="2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2"/>
      <c r="AF244" s="2"/>
      <c r="AG244" s="2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2"/>
      <c r="AF245" s="2"/>
      <c r="AG245" s="2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2"/>
      <c r="AF246" s="2"/>
      <c r="AG246" s="2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2"/>
      <c r="AF247" s="2"/>
      <c r="AG247" s="2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2"/>
      <c r="AF248" s="2"/>
      <c r="AG248" s="2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2"/>
      <c r="AF249" s="2"/>
      <c r="AG249" s="2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2"/>
      <c r="AF250" s="2"/>
      <c r="AG250" s="2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2"/>
      <c r="AF251" s="2"/>
      <c r="AG251" s="2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2"/>
      <c r="AF252" s="2"/>
      <c r="AG252" s="2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2"/>
      <c r="AF253" s="2"/>
      <c r="AG253" s="2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2"/>
      <c r="AF254" s="2"/>
      <c r="AG254" s="2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2"/>
      <c r="AF255" s="2"/>
      <c r="AG255" s="2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2"/>
      <c r="AF256" s="2"/>
      <c r="AG256" s="2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2"/>
      <c r="AF257" s="2"/>
      <c r="AG257" s="2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2"/>
      <c r="AF258" s="2"/>
      <c r="AG258" s="2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2"/>
      <c r="AF259" s="2"/>
      <c r="AG259" s="2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2"/>
      <c r="AF260" s="2"/>
      <c r="AG260" s="2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2"/>
      <c r="AF261" s="2"/>
      <c r="AG261" s="2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2"/>
      <c r="AF262" s="2"/>
      <c r="AG262" s="2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2"/>
      <c r="AF263" s="2"/>
      <c r="AG263" s="2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2"/>
      <c r="AF264" s="2"/>
      <c r="AG264" s="2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2"/>
      <c r="AF265" s="2"/>
      <c r="AG265" s="2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2"/>
      <c r="AF266" s="2"/>
      <c r="AG266" s="2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2"/>
      <c r="AF267" s="2"/>
      <c r="AG267" s="2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2"/>
      <c r="AF268" s="2"/>
      <c r="AG268" s="2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2"/>
      <c r="AF269" s="2"/>
      <c r="AG269" s="2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2"/>
      <c r="AF270" s="2"/>
      <c r="AG270" s="2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2"/>
      <c r="AF271" s="2"/>
      <c r="AG271" s="2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2"/>
      <c r="AF272" s="2"/>
      <c r="AG272" s="2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2"/>
      <c r="AF273" s="2"/>
      <c r="AG273" s="2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2"/>
      <c r="AF274" s="2"/>
      <c r="AG274" s="2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2"/>
      <c r="AF275" s="2"/>
      <c r="AG275" s="2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2"/>
      <c r="AF276" s="2"/>
      <c r="AG276" s="2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2"/>
      <c r="AF277" s="2"/>
      <c r="AG277" s="2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2"/>
      <c r="AF278" s="2"/>
      <c r="AG278" s="2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2"/>
      <c r="AF279" s="2"/>
      <c r="AG279" s="2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2"/>
      <c r="AF280" s="2"/>
      <c r="AG280" s="2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2"/>
      <c r="AF281" s="2"/>
      <c r="AG281" s="2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2"/>
      <c r="AF282" s="2"/>
      <c r="AG282" s="2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2"/>
      <c r="AF283" s="2"/>
      <c r="AG283" s="2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2"/>
      <c r="AF284" s="2"/>
      <c r="AG284" s="2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2"/>
      <c r="AF285" s="2"/>
      <c r="AG285" s="2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2"/>
      <c r="AF286" s="2"/>
      <c r="AG286" s="2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2"/>
      <c r="AF287" s="2"/>
      <c r="AG287" s="2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2"/>
      <c r="AF288" s="2"/>
      <c r="AG288" s="2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2"/>
      <c r="AF289" s="2"/>
      <c r="AG289" s="2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2"/>
      <c r="AF290" s="2"/>
      <c r="AG290" s="2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2"/>
      <c r="AF291" s="2"/>
      <c r="AG291" s="2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2"/>
      <c r="AF292" s="2"/>
      <c r="AG292" s="2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2"/>
      <c r="AF293" s="2"/>
      <c r="AG293" s="2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2"/>
      <c r="AF294" s="2"/>
      <c r="AG294" s="2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2"/>
      <c r="AF295" s="2"/>
      <c r="AG295" s="2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2"/>
      <c r="AF296" s="2"/>
      <c r="AG296" s="2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2"/>
      <c r="AF297" s="2"/>
      <c r="AG297" s="2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2"/>
      <c r="AF298" s="2"/>
      <c r="AG298" s="2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2"/>
      <c r="AF299" s="2"/>
      <c r="AG299" s="2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2"/>
      <c r="AF300" s="2"/>
      <c r="AG300" s="2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2"/>
      <c r="AF301" s="2"/>
      <c r="AG301" s="2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2"/>
      <c r="AF302" s="2"/>
      <c r="AG302" s="2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2"/>
      <c r="AF303" s="2"/>
      <c r="AG303" s="2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2"/>
      <c r="AF304" s="2"/>
      <c r="AG304" s="2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2"/>
      <c r="AF305" s="2"/>
      <c r="AG305" s="2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2"/>
      <c r="AF306" s="2"/>
      <c r="AG306" s="2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2"/>
      <c r="AF307" s="2"/>
      <c r="AG307" s="2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2"/>
      <c r="AF308" s="2"/>
      <c r="AG308" s="2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2"/>
      <c r="AF309" s="2"/>
      <c r="AG309" s="2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2"/>
      <c r="AF310" s="2"/>
      <c r="AG310" s="2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2"/>
      <c r="AF311" s="2"/>
      <c r="AG311" s="2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2"/>
      <c r="AF312" s="2"/>
      <c r="AG312" s="2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2"/>
      <c r="AF313" s="2"/>
      <c r="AG313" s="2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2"/>
      <c r="AF314" s="2"/>
      <c r="AG314" s="2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2"/>
      <c r="AF315" s="2"/>
      <c r="AG315" s="2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2"/>
      <c r="AF316" s="2"/>
      <c r="AG316" s="2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2"/>
      <c r="AF317" s="2"/>
      <c r="AG317" s="2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2"/>
      <c r="AF318" s="2"/>
      <c r="AG318" s="2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2"/>
      <c r="AF319" s="2"/>
      <c r="AG319" s="2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2"/>
      <c r="AF320" s="2"/>
      <c r="AG320" s="2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2"/>
      <c r="AF321" s="2"/>
      <c r="AG321" s="2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2"/>
      <c r="AF322" s="2"/>
      <c r="AG322" s="2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2"/>
      <c r="AF323" s="2"/>
      <c r="AG323" s="2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2"/>
      <c r="AF324" s="2"/>
      <c r="AG324" s="2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2"/>
      <c r="AF325" s="2"/>
      <c r="AG325" s="2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2"/>
      <c r="AF326" s="2"/>
      <c r="AG326" s="2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2"/>
      <c r="AF327" s="2"/>
      <c r="AG327" s="2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2"/>
      <c r="AF328" s="2"/>
      <c r="AG328" s="2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2"/>
      <c r="AF329" s="2"/>
      <c r="AG329" s="2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2"/>
      <c r="AF330" s="2"/>
      <c r="AG330" s="2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2"/>
      <c r="AF331" s="2"/>
      <c r="AG331" s="2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2"/>
      <c r="AF332" s="2"/>
      <c r="AG332" s="2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2"/>
      <c r="AF333" s="2"/>
      <c r="AG333" s="2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2"/>
      <c r="AF334" s="2"/>
      <c r="AG334" s="2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2"/>
      <c r="AF335" s="2"/>
      <c r="AG335" s="2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2"/>
      <c r="AF336" s="2"/>
      <c r="AG336" s="2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2"/>
      <c r="AF337" s="2"/>
      <c r="AG337" s="2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2"/>
      <c r="AF338" s="2"/>
      <c r="AG338" s="2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2"/>
      <c r="AF339" s="2"/>
      <c r="AG339" s="2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2"/>
      <c r="AF340" s="2"/>
      <c r="AG340" s="2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2"/>
      <c r="AF341" s="2"/>
      <c r="AG341" s="2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2"/>
      <c r="AF342" s="2"/>
      <c r="AG342" s="2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2"/>
      <c r="AF343" s="2"/>
      <c r="AG343" s="2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2"/>
      <c r="AF344" s="2"/>
      <c r="AG344" s="2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2"/>
      <c r="AF345" s="2"/>
      <c r="AG345" s="2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2"/>
      <c r="AF346" s="2"/>
      <c r="AG346" s="2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2"/>
      <c r="AF347" s="2"/>
      <c r="AG347" s="2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2"/>
      <c r="AF348" s="2"/>
      <c r="AG348" s="2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2"/>
      <c r="AF349" s="2"/>
      <c r="AG349" s="2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2"/>
      <c r="AF350" s="2"/>
      <c r="AG350" s="2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2"/>
      <c r="AF351" s="2"/>
      <c r="AG351" s="2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2"/>
      <c r="AF352" s="2"/>
      <c r="AG352" s="2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2"/>
      <c r="AF353" s="2"/>
      <c r="AG353" s="2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2"/>
      <c r="AF354" s="2"/>
      <c r="AG354" s="2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2"/>
      <c r="AF355" s="2"/>
      <c r="AG355" s="2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2"/>
      <c r="AF356" s="2"/>
      <c r="AG356" s="2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2"/>
      <c r="AF357" s="2"/>
      <c r="AG357" s="2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2"/>
      <c r="AF358" s="2"/>
      <c r="AG358" s="2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2"/>
      <c r="AF359" s="2"/>
      <c r="AG359" s="2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2"/>
      <c r="AF360" s="2"/>
      <c r="AG360" s="2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2"/>
      <c r="AF361" s="2"/>
      <c r="AG361" s="2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2"/>
      <c r="AF362" s="2"/>
      <c r="AG362" s="2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2"/>
      <c r="AF363" s="2"/>
      <c r="AG363" s="2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2"/>
      <c r="AF364" s="2"/>
      <c r="AG364" s="2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2"/>
      <c r="AF365" s="2"/>
      <c r="AG365" s="2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2"/>
      <c r="AF366" s="2"/>
      <c r="AG366" s="2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2"/>
      <c r="AF367" s="2"/>
      <c r="AG367" s="2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2"/>
      <c r="AF368" s="2"/>
      <c r="AG368" s="2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2"/>
      <c r="AF369" s="2"/>
      <c r="AG369" s="2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2"/>
      <c r="AF370" s="2"/>
      <c r="AG370" s="2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2"/>
      <c r="AF371" s="2"/>
      <c r="AG371" s="2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2"/>
      <c r="AF372" s="2"/>
      <c r="AG372" s="2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2"/>
      <c r="AF373" s="2"/>
      <c r="AG373" s="2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2"/>
      <c r="AF374" s="2"/>
      <c r="AG374" s="2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2"/>
      <c r="AF375" s="2"/>
      <c r="AG375" s="2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2"/>
      <c r="AF376" s="2"/>
      <c r="AG376" s="2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2"/>
      <c r="AF377" s="2"/>
      <c r="AG377" s="2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2"/>
      <c r="AF378" s="2"/>
      <c r="AG378" s="2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2"/>
      <c r="AF379" s="2"/>
      <c r="AG379" s="2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2"/>
      <c r="AF380" s="2"/>
      <c r="AG380" s="2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2"/>
      <c r="AF381" s="2"/>
      <c r="AG381" s="2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2"/>
      <c r="AF382" s="2"/>
      <c r="AG382" s="2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2"/>
      <c r="AF383" s="2"/>
      <c r="AG383" s="2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2"/>
      <c r="AF384" s="2"/>
      <c r="AG384" s="2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2"/>
      <c r="AF385" s="2"/>
      <c r="AG385" s="2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2"/>
      <c r="AF386" s="2"/>
      <c r="AG386" s="2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2"/>
      <c r="AF387" s="2"/>
      <c r="AG387" s="2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2"/>
      <c r="AF388" s="2"/>
      <c r="AG388" s="2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2"/>
      <c r="AF389" s="2"/>
      <c r="AG389" s="2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2"/>
      <c r="AF390" s="2"/>
      <c r="AG390" s="2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2"/>
      <c r="AF391" s="2"/>
      <c r="AG391" s="2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2"/>
      <c r="AF392" s="2"/>
      <c r="AG392" s="2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2"/>
      <c r="AF393" s="2"/>
      <c r="AG393" s="2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2"/>
      <c r="AF394" s="2"/>
      <c r="AG394" s="2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2"/>
      <c r="AF395" s="2"/>
      <c r="AG395" s="2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2"/>
      <c r="AF396" s="2"/>
      <c r="AG396" s="2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2"/>
      <c r="AF397" s="2"/>
      <c r="AG397" s="2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2"/>
      <c r="AF398" s="2"/>
      <c r="AG398" s="2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2"/>
      <c r="AF399" s="2"/>
      <c r="AG399" s="2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2"/>
      <c r="AF400" s="2"/>
      <c r="AG400" s="2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2"/>
      <c r="AF401" s="2"/>
      <c r="AG401" s="2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2"/>
      <c r="AF402" s="2"/>
      <c r="AG402" s="2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2"/>
      <c r="AF403" s="2"/>
      <c r="AG403" s="2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2"/>
      <c r="AF404" s="2"/>
      <c r="AG404" s="2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2"/>
      <c r="AF405" s="2"/>
      <c r="AG405" s="2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2"/>
      <c r="AF406" s="2"/>
      <c r="AG406" s="2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2"/>
      <c r="AF407" s="2"/>
      <c r="AG407" s="2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2"/>
      <c r="AF408" s="2"/>
      <c r="AG408" s="2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2"/>
      <c r="AF409" s="2"/>
      <c r="AG409" s="2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2"/>
      <c r="AF410" s="2"/>
      <c r="AG410" s="2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2"/>
      <c r="AF411" s="2"/>
      <c r="AG411" s="2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2"/>
      <c r="AF412" s="2"/>
      <c r="AG412" s="2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2"/>
      <c r="AF413" s="2"/>
      <c r="AG413" s="2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2"/>
      <c r="AF414" s="2"/>
      <c r="AG414" s="2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2"/>
      <c r="AF415" s="2"/>
      <c r="AG415" s="2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2"/>
      <c r="AF416" s="2"/>
      <c r="AG416" s="2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2"/>
      <c r="AF417" s="2"/>
      <c r="AG417" s="2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2"/>
      <c r="AF418" s="2"/>
      <c r="AG418" s="2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2"/>
      <c r="AF419" s="2"/>
      <c r="AG419" s="2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2"/>
      <c r="AF420" s="2"/>
      <c r="AG420" s="2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2"/>
      <c r="AF421" s="2"/>
      <c r="AG421" s="2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2"/>
      <c r="AF422" s="2"/>
      <c r="AG422" s="2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2"/>
      <c r="AF423" s="2"/>
      <c r="AG423" s="2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2"/>
      <c r="AF424" s="2"/>
      <c r="AG424" s="2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2"/>
      <c r="AF425" s="2"/>
      <c r="AG425" s="2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2"/>
      <c r="AF426" s="2"/>
      <c r="AG426" s="2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2"/>
      <c r="AF427" s="2"/>
      <c r="AG427" s="2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2"/>
      <c r="AF428" s="2"/>
      <c r="AG428" s="2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2"/>
      <c r="AF429" s="2"/>
      <c r="AG429" s="2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2"/>
      <c r="AF430" s="2"/>
      <c r="AG430" s="2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2"/>
      <c r="AF431" s="2"/>
      <c r="AG431" s="2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2"/>
      <c r="AF432" s="2"/>
      <c r="AG432" s="2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2"/>
      <c r="AF433" s="2"/>
      <c r="AG433" s="2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2"/>
      <c r="AF434" s="2"/>
      <c r="AG434" s="2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2"/>
      <c r="AF435" s="2"/>
      <c r="AG435" s="2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2"/>
      <c r="AF436" s="2"/>
      <c r="AG436" s="2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2"/>
      <c r="AF437" s="2"/>
      <c r="AG437" s="2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2"/>
      <c r="AF438" s="2"/>
      <c r="AG438" s="2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2"/>
      <c r="AF439" s="2"/>
      <c r="AG439" s="2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2"/>
      <c r="AF440" s="2"/>
      <c r="AG440" s="2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2"/>
      <c r="AF441" s="2"/>
      <c r="AG441" s="2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2"/>
      <c r="AF442" s="2"/>
      <c r="AG442" s="2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2"/>
      <c r="AF443" s="2"/>
      <c r="AG443" s="2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2"/>
      <c r="AF444" s="2"/>
      <c r="AG444" s="2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2"/>
      <c r="AF445" s="2"/>
      <c r="AG445" s="2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2"/>
      <c r="AF446" s="2"/>
      <c r="AG446" s="2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2"/>
      <c r="AF447" s="2"/>
      <c r="AG447" s="2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2"/>
      <c r="AF448" s="2"/>
      <c r="AG448" s="2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2"/>
      <c r="AF449" s="2"/>
      <c r="AG449" s="2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2"/>
      <c r="AF450" s="2"/>
      <c r="AG450" s="2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2"/>
      <c r="AF451" s="2"/>
      <c r="AG451" s="2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2"/>
      <c r="AF452" s="2"/>
      <c r="AG452" s="2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2"/>
      <c r="AF453" s="2"/>
      <c r="AG453" s="2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2"/>
      <c r="AF454" s="2"/>
      <c r="AG454" s="2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2"/>
      <c r="AF455" s="2"/>
      <c r="AG455" s="2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2"/>
      <c r="AF456" s="2"/>
      <c r="AG456" s="2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2"/>
      <c r="AF457" s="2"/>
      <c r="AG457" s="2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2"/>
      <c r="AF458" s="2"/>
      <c r="AG458" s="2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2"/>
      <c r="AF459" s="2"/>
      <c r="AG459" s="2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2"/>
      <c r="AF460" s="2"/>
      <c r="AG460" s="2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2"/>
      <c r="AF461" s="2"/>
      <c r="AG461" s="2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2"/>
      <c r="AF462" s="2"/>
      <c r="AG462" s="2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2"/>
      <c r="AF463" s="2"/>
      <c r="AG463" s="2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2"/>
      <c r="AF464" s="2"/>
      <c r="AG464" s="2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2"/>
      <c r="AF465" s="2"/>
      <c r="AG465" s="2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2"/>
      <c r="AF466" s="2"/>
      <c r="AG466" s="2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2"/>
      <c r="AF467" s="2"/>
      <c r="AG467" s="2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2"/>
      <c r="AF468" s="2"/>
      <c r="AG468" s="2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2"/>
      <c r="AF469" s="2"/>
      <c r="AG469" s="2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2"/>
      <c r="AF470" s="2"/>
      <c r="AG470" s="2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2"/>
      <c r="AF471" s="2"/>
      <c r="AG471" s="2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2"/>
      <c r="AF472" s="2"/>
      <c r="AG472" s="2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2"/>
      <c r="AF473" s="2"/>
      <c r="AG473" s="2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2"/>
      <c r="AF474" s="2"/>
      <c r="AG474" s="2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2"/>
      <c r="AF475" s="2"/>
      <c r="AG475" s="2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2"/>
      <c r="AF476" s="2"/>
      <c r="AG476" s="2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2"/>
      <c r="AF477" s="2"/>
      <c r="AG477" s="2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2"/>
      <c r="AF478" s="2"/>
      <c r="AG478" s="2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2"/>
      <c r="AF479" s="2"/>
      <c r="AG479" s="2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2"/>
      <c r="AF480" s="2"/>
      <c r="AG480" s="2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2"/>
      <c r="AF481" s="2"/>
      <c r="AG481" s="2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2"/>
      <c r="AF482" s="2"/>
      <c r="AG482" s="2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2"/>
      <c r="AF483" s="2"/>
      <c r="AG483" s="2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2"/>
      <c r="AF484" s="2"/>
      <c r="AG484" s="2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2"/>
      <c r="AF485" s="2"/>
      <c r="AG485" s="2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2"/>
      <c r="AF486" s="2"/>
      <c r="AG486" s="2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2"/>
      <c r="AF487" s="2"/>
      <c r="AG487" s="2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2"/>
      <c r="AF488" s="2"/>
      <c r="AG488" s="2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2"/>
      <c r="AF489" s="2"/>
      <c r="AG489" s="2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2"/>
      <c r="AF490" s="2"/>
      <c r="AG490" s="2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2"/>
      <c r="AF491" s="2"/>
      <c r="AG491" s="2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2"/>
      <c r="AF492" s="2"/>
      <c r="AG492" s="2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2"/>
      <c r="AF493" s="2"/>
      <c r="AG493" s="2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2"/>
      <c r="AF494" s="2"/>
      <c r="AG494" s="2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2"/>
      <c r="AF495" s="2"/>
      <c r="AG495" s="2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2"/>
      <c r="AF496" s="2"/>
      <c r="AG496" s="2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2"/>
      <c r="AF497" s="2"/>
      <c r="AG497" s="2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2"/>
      <c r="AF498" s="2"/>
      <c r="AG498" s="2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2"/>
      <c r="AF499" s="2"/>
      <c r="AG499" s="2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2"/>
      <c r="AF500" s="2"/>
      <c r="AG500" s="2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:53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2"/>
      <c r="AF501" s="2"/>
      <c r="AG501" s="2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:53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2"/>
      <c r="AF502" s="2"/>
      <c r="AG502" s="2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:5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2"/>
      <c r="AF503" s="2"/>
      <c r="AG503" s="2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:53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2"/>
      <c r="AF504" s="2"/>
      <c r="AG504" s="2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:53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2"/>
      <c r="AF505" s="2"/>
      <c r="AG505" s="2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:53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2"/>
      <c r="AF506" s="2"/>
      <c r="AG506" s="2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:53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2"/>
      <c r="AF507" s="2"/>
      <c r="AG507" s="2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:53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2"/>
      <c r="AF508" s="2"/>
      <c r="AG508" s="2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:53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2"/>
      <c r="AF509" s="2"/>
      <c r="AG509" s="2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:53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2"/>
      <c r="AF510" s="2"/>
      <c r="AG510" s="2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:53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2"/>
      <c r="AF511" s="2"/>
      <c r="AG511" s="2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:53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2"/>
      <c r="AF512" s="2"/>
      <c r="AG512" s="2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:5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2"/>
      <c r="AF513" s="2"/>
      <c r="AG513" s="2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:53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2"/>
      <c r="AF514" s="2"/>
      <c r="AG514" s="2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:53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2"/>
      <c r="AF515" s="2"/>
      <c r="AG515" s="2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:53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2"/>
      <c r="AF516" s="2"/>
      <c r="AG516" s="2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:53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2"/>
      <c r="AF517" s="2"/>
      <c r="AG517" s="2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:53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2"/>
      <c r="AF518" s="2"/>
      <c r="AG518" s="2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:53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2"/>
      <c r="AF519" s="2"/>
      <c r="AG519" s="2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:53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2"/>
      <c r="AF520" s="2"/>
      <c r="AG520" s="2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:53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2"/>
      <c r="AF521" s="2"/>
      <c r="AG521" s="2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:53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2"/>
      <c r="AF522" s="2"/>
      <c r="AG522" s="2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:5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2"/>
      <c r="AF523" s="2"/>
      <c r="AG523" s="2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:53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2"/>
      <c r="AF524" s="2"/>
      <c r="AG524" s="2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:53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2"/>
      <c r="AF525" s="2"/>
      <c r="AG525" s="2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:53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2"/>
      <c r="AF526" s="2"/>
      <c r="AG526" s="2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:53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2"/>
      <c r="AF527" s="2"/>
      <c r="AG527" s="2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:53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2"/>
      <c r="AF528" s="2"/>
      <c r="AG528" s="2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:53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2"/>
      <c r="AF529" s="2"/>
      <c r="AG529" s="2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:53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2"/>
      <c r="AF530" s="2"/>
      <c r="AG530" s="2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:53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2"/>
      <c r="AF531" s="2"/>
      <c r="AG531" s="2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:53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2"/>
      <c r="AF532" s="2"/>
      <c r="AG532" s="2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:5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2"/>
      <c r="AF533" s="2"/>
      <c r="AG533" s="2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:53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2"/>
      <c r="AF534" s="2"/>
      <c r="AG534" s="2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:53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2"/>
      <c r="AF535" s="2"/>
      <c r="AG535" s="2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spans="1:53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2"/>
      <c r="AF536" s="2"/>
      <c r="AG536" s="2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spans="1:53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2"/>
      <c r="AF537" s="2"/>
      <c r="AG537" s="2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38" spans="1:53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2"/>
      <c r="AF538" s="2"/>
      <c r="AG538" s="2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</row>
    <row r="539" spans="1:53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2"/>
      <c r="AF539" s="2"/>
      <c r="AG539" s="2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</row>
    <row r="540" spans="1:53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2"/>
      <c r="AF540" s="2"/>
      <c r="AG540" s="2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</row>
    <row r="541" spans="1:53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2"/>
      <c r="AF541" s="2"/>
      <c r="AG541" s="2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</row>
    <row r="542" spans="1:53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2"/>
      <c r="AF542" s="2"/>
      <c r="AG542" s="2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</row>
    <row r="543" spans="1:5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2"/>
      <c r="AF543" s="2"/>
      <c r="AG543" s="2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</row>
    <row r="544" spans="1:53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2"/>
      <c r="AF544" s="2"/>
      <c r="AG544" s="2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</row>
    <row r="545" spans="1:53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2"/>
      <c r="AF545" s="2"/>
      <c r="AG545" s="2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</row>
    <row r="546" spans="1:53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2"/>
      <c r="AF546" s="2"/>
      <c r="AG546" s="2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</row>
    <row r="547" spans="1:53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2"/>
      <c r="AF547" s="2"/>
      <c r="AG547" s="2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</row>
    <row r="548" spans="1:53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2"/>
      <c r="AF548" s="2"/>
      <c r="AG548" s="2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spans="1:53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2"/>
      <c r="AF549" s="2"/>
      <c r="AG549" s="2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</row>
    <row r="550" spans="1:53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2"/>
      <c r="AF550" s="2"/>
      <c r="AG550" s="2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spans="1:53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2"/>
      <c r="AF551" s="2"/>
      <c r="AG551" s="2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spans="1:53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2"/>
      <c r="AF552" s="2"/>
      <c r="AG552" s="2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spans="1: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2"/>
      <c r="AF553" s="2"/>
      <c r="AG553" s="2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</row>
    <row r="554" spans="1:53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2"/>
      <c r="AF554" s="2"/>
      <c r="AG554" s="2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spans="1:53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2"/>
      <c r="AF555" s="2"/>
      <c r="AG555" s="2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spans="1:53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2"/>
      <c r="AF556" s="2"/>
      <c r="AG556" s="2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spans="1:53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2"/>
      <c r="AF557" s="2"/>
      <c r="AG557" s="2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</row>
    <row r="558" spans="1:53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2"/>
      <c r="AF558" s="2"/>
      <c r="AG558" s="2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spans="1:53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2"/>
      <c r="AF559" s="2"/>
      <c r="AG559" s="2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</row>
    <row r="560" spans="1:53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2"/>
      <c r="AF560" s="2"/>
      <c r="AG560" s="2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</row>
    <row r="561" spans="1:53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2"/>
      <c r="AF561" s="2"/>
      <c r="AG561" s="2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spans="1:53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2"/>
      <c r="AF562" s="2"/>
      <c r="AG562" s="2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spans="1:5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2"/>
      <c r="AF563" s="2"/>
      <c r="AG563" s="2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</row>
    <row r="564" spans="1:53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2"/>
      <c r="AF564" s="2"/>
      <c r="AG564" s="2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spans="1:53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2"/>
      <c r="AF565" s="2"/>
      <c r="AG565" s="2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</row>
    <row r="566" spans="1:53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2"/>
      <c r="AF566" s="2"/>
      <c r="AG566" s="2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</row>
    <row r="567" spans="1:53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2"/>
      <c r="AF567" s="2"/>
      <c r="AG567" s="2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spans="1:53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2"/>
      <c r="AF568" s="2"/>
      <c r="AG568" s="2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</row>
    <row r="569" spans="1:53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2"/>
      <c r="AF569" s="2"/>
      <c r="AG569" s="2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spans="1:53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2"/>
      <c r="AF570" s="2"/>
      <c r="AG570" s="2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</row>
    <row r="571" spans="1:53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2"/>
      <c r="AF571" s="2"/>
      <c r="AG571" s="2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</row>
    <row r="572" spans="1:53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2"/>
      <c r="AF572" s="2"/>
      <c r="AG572" s="2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spans="1:5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2"/>
      <c r="AF573" s="2"/>
      <c r="AG573" s="2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</row>
    <row r="574" spans="1:53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2"/>
      <c r="AF574" s="2"/>
      <c r="AG574" s="2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spans="1:53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2"/>
      <c r="AF575" s="2"/>
      <c r="AG575" s="2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</row>
    <row r="576" spans="1:53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2"/>
      <c r="AF576" s="2"/>
      <c r="AG576" s="2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spans="1:53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2"/>
      <c r="AF577" s="2"/>
      <c r="AG577" s="2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</row>
    <row r="578" spans="1:53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2"/>
      <c r="AF578" s="2"/>
      <c r="AG578" s="2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</row>
    <row r="579" spans="1:53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2"/>
      <c r="AF579" s="2"/>
      <c r="AG579" s="2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spans="1:53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2"/>
      <c r="AF580" s="2"/>
      <c r="AG580" s="2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spans="1:53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2"/>
      <c r="AF581" s="2"/>
      <c r="AG581" s="2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spans="1:53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2"/>
      <c r="AF582" s="2"/>
      <c r="AG582" s="2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spans="1:5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2"/>
      <c r="AF583" s="2"/>
      <c r="AG583" s="2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spans="1:53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2"/>
      <c r="AF584" s="2"/>
      <c r="AG584" s="2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spans="1:53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2"/>
      <c r="AF585" s="2"/>
      <c r="AG585" s="2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</row>
    <row r="586" spans="1:53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2"/>
      <c r="AF586" s="2"/>
      <c r="AG586" s="2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spans="1:53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2"/>
      <c r="AF587" s="2"/>
      <c r="AG587" s="2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spans="1:53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2"/>
      <c r="AF588" s="2"/>
      <c r="AG588" s="2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</row>
    <row r="589" spans="1:53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2"/>
      <c r="AF589" s="2"/>
      <c r="AG589" s="2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spans="1:53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2"/>
      <c r="AF590" s="2"/>
      <c r="AG590" s="2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</row>
    <row r="591" spans="1:53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2"/>
      <c r="AF591" s="2"/>
      <c r="AG591" s="2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spans="1:53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2"/>
      <c r="AF592" s="2"/>
      <c r="AG592" s="2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</row>
    <row r="593" spans="1:5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2"/>
      <c r="AF593" s="2"/>
      <c r="AG593" s="2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spans="1:53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2"/>
      <c r="AF594" s="2"/>
      <c r="AG594" s="2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</row>
    <row r="595" spans="1:53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2"/>
      <c r="AF595" s="2"/>
      <c r="AG595" s="2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spans="1:53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2"/>
      <c r="AF596" s="2"/>
      <c r="AG596" s="2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</row>
    <row r="597" spans="1:53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2"/>
      <c r="AF597" s="2"/>
      <c r="AG597" s="2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spans="1:53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2"/>
      <c r="AF598" s="2"/>
      <c r="AG598" s="2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spans="1:53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2"/>
      <c r="AF599" s="2"/>
      <c r="AG599" s="2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spans="1:53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2"/>
      <c r="AF600" s="2"/>
      <c r="AG600" s="2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spans="1:53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2"/>
      <c r="AF601" s="2"/>
      <c r="AG601" s="2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spans="1:53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2"/>
      <c r="AF602" s="2"/>
      <c r="AG602" s="2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spans="1:5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2"/>
      <c r="AF603" s="2"/>
      <c r="AG603" s="2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</row>
    <row r="604" spans="1:53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2"/>
      <c r="AF604" s="2"/>
      <c r="AG604" s="2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</row>
    <row r="605" spans="1:53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2"/>
      <c r="AF605" s="2"/>
      <c r="AG605" s="2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</row>
    <row r="606" spans="1:53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2"/>
      <c r="AF606" s="2"/>
      <c r="AG606" s="2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spans="1:53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2"/>
      <c r="AF607" s="2"/>
      <c r="AG607" s="2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spans="1:53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2"/>
      <c r="AF608" s="2"/>
      <c r="AG608" s="2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</row>
    <row r="609" spans="1:53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2"/>
      <c r="AF609" s="2"/>
      <c r="AG609" s="2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</row>
    <row r="610" spans="1:53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2"/>
      <c r="AF610" s="2"/>
      <c r="AG610" s="2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spans="1:53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2"/>
      <c r="AF611" s="2"/>
      <c r="AG611" s="2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</row>
    <row r="612" spans="1:53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2"/>
      <c r="AF612" s="2"/>
      <c r="AG612" s="2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spans="1:5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2"/>
      <c r="AF613" s="2"/>
      <c r="AG613" s="2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spans="1:53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2"/>
      <c r="AF614" s="2"/>
      <c r="AG614" s="2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</row>
    <row r="615" spans="1:53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2"/>
      <c r="AF615" s="2"/>
      <c r="AG615" s="2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</row>
    <row r="616" spans="1:53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2"/>
      <c r="AF616" s="2"/>
      <c r="AG616" s="2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spans="1:53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2"/>
      <c r="AF617" s="2"/>
      <c r="AG617" s="2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spans="1:53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2"/>
      <c r="AF618" s="2"/>
      <c r="AG618" s="2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spans="1:53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2"/>
      <c r="AF619" s="2"/>
      <c r="AG619" s="2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</row>
    <row r="620" spans="1:53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2"/>
      <c r="AF620" s="2"/>
      <c r="AG620" s="2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spans="1:53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2"/>
      <c r="AF621" s="2"/>
      <c r="AG621" s="2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spans="1:53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2"/>
      <c r="AF622" s="2"/>
      <c r="AG622" s="2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</row>
    <row r="623" spans="1:5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2"/>
      <c r="AF623" s="2"/>
      <c r="AG623" s="2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spans="1:53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2"/>
      <c r="AF624" s="2"/>
      <c r="AG624" s="2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spans="1:53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2"/>
      <c r="AF625" s="2"/>
      <c r="AG625" s="2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spans="1:53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2"/>
      <c r="AF626" s="2"/>
      <c r="AG626" s="2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spans="1:53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2"/>
      <c r="AF627" s="2"/>
      <c r="AG627" s="2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spans="1:53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2"/>
      <c r="AF628" s="2"/>
      <c r="AG628" s="2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spans="1:53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2"/>
      <c r="AF629" s="2"/>
      <c r="AG629" s="2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</row>
    <row r="630" spans="1:53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2"/>
      <c r="AF630" s="2"/>
      <c r="AG630" s="2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spans="1:53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2"/>
      <c r="AF631" s="2"/>
      <c r="AG631" s="2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spans="1:53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2"/>
      <c r="AF632" s="2"/>
      <c r="AG632" s="2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</row>
    <row r="633" spans="1:5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2"/>
      <c r="AF633" s="2"/>
      <c r="AG633" s="2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</row>
    <row r="634" spans="1:53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2"/>
      <c r="AF634" s="2"/>
      <c r="AG634" s="2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spans="1:53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2"/>
      <c r="AF635" s="2"/>
      <c r="AG635" s="2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spans="1:53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2"/>
      <c r="AF636" s="2"/>
      <c r="AG636" s="2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</row>
    <row r="637" spans="1:53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2"/>
      <c r="AF637" s="2"/>
      <c r="AG637" s="2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spans="1:53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2"/>
      <c r="AF638" s="2"/>
      <c r="AG638" s="2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</row>
    <row r="639" spans="1:53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2"/>
      <c r="AF639" s="2"/>
      <c r="AG639" s="2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</row>
    <row r="640" spans="1:53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2"/>
      <c r="AF640" s="2"/>
      <c r="AG640" s="2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spans="1:53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2"/>
      <c r="AF641" s="2"/>
      <c r="AG641" s="2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spans="1:53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2"/>
      <c r="AF642" s="2"/>
      <c r="AG642" s="2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</row>
    <row r="643" spans="1:5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2"/>
      <c r="AF643" s="2"/>
      <c r="AG643" s="2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spans="1:53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2"/>
      <c r="AF644" s="2"/>
      <c r="AG644" s="2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</row>
    <row r="645" spans="1:53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2"/>
      <c r="AF645" s="2"/>
      <c r="AG645" s="2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spans="1:53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2"/>
      <c r="AF646" s="2"/>
      <c r="AG646" s="2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</row>
    <row r="647" spans="1:53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2"/>
      <c r="AF647" s="2"/>
      <c r="AG647" s="2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spans="1:53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2"/>
      <c r="AF648" s="2"/>
      <c r="AG648" s="2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</row>
    <row r="649" spans="1:53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2"/>
      <c r="AF649" s="2"/>
      <c r="AG649" s="2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</row>
    <row r="650" spans="1:53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2"/>
      <c r="AF650" s="2"/>
      <c r="AG650" s="2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spans="1:53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2"/>
      <c r="AF651" s="2"/>
      <c r="AG651" s="2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spans="1:53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2"/>
      <c r="AF652" s="2"/>
      <c r="AG652" s="2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</row>
    <row r="653" spans="1: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2"/>
      <c r="AF653" s="2"/>
      <c r="AG653" s="2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spans="1:53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2"/>
      <c r="AF654" s="2"/>
      <c r="AG654" s="2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</row>
    <row r="655" spans="1:53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2"/>
      <c r="AF655" s="2"/>
      <c r="AG655" s="2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</row>
    <row r="656" spans="1:53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2"/>
      <c r="AF656" s="2"/>
      <c r="AG656" s="2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</row>
    <row r="657" spans="1:53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2"/>
      <c r="AF657" s="2"/>
      <c r="AG657" s="2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</row>
    <row r="658" spans="1:53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2"/>
      <c r="AF658" s="2"/>
      <c r="AG658" s="2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spans="1:53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2"/>
      <c r="AF659" s="2"/>
      <c r="AG659" s="2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spans="1:53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2"/>
      <c r="AF660" s="2"/>
      <c r="AG660" s="2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spans="1:53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2"/>
      <c r="AF661" s="2"/>
      <c r="AG661" s="2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spans="1:53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2"/>
      <c r="AF662" s="2"/>
      <c r="AG662" s="2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</row>
    <row r="663" spans="1:5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2"/>
      <c r="AF663" s="2"/>
      <c r="AG663" s="2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spans="1:53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2"/>
      <c r="AF664" s="2"/>
      <c r="AG664" s="2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</row>
    <row r="665" spans="1:53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2"/>
      <c r="AF665" s="2"/>
      <c r="AG665" s="2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spans="1:53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2"/>
      <c r="AF666" s="2"/>
      <c r="AG666" s="2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</row>
    <row r="667" spans="1:53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2"/>
      <c r="AF667" s="2"/>
      <c r="AG667" s="2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</row>
    <row r="668" spans="1:53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2"/>
      <c r="AF668" s="2"/>
      <c r="AG668" s="2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spans="1:53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2"/>
      <c r="AF669" s="2"/>
      <c r="AG669" s="2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spans="1:53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2"/>
      <c r="AF670" s="2"/>
      <c r="AG670" s="2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spans="1:53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2"/>
      <c r="AF671" s="2"/>
      <c r="AG671" s="2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</row>
    <row r="672" spans="1:53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2"/>
      <c r="AF672" s="2"/>
      <c r="AG672" s="2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spans="1:5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2"/>
      <c r="AF673" s="2"/>
      <c r="AG673" s="2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</row>
    <row r="674" spans="1:53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2"/>
      <c r="AF674" s="2"/>
      <c r="AG674" s="2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</row>
    <row r="675" spans="1:53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2"/>
      <c r="AF675" s="2"/>
      <c r="AG675" s="2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spans="1:53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2"/>
      <c r="AF676" s="2"/>
      <c r="AG676" s="2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spans="1:53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2"/>
      <c r="AF677" s="2"/>
      <c r="AG677" s="2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spans="1:53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2"/>
      <c r="AF678" s="2"/>
      <c r="AG678" s="2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</row>
    <row r="679" spans="1:53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2"/>
      <c r="AF679" s="2"/>
      <c r="AG679" s="2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spans="1:53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2"/>
      <c r="AF680" s="2"/>
      <c r="AG680" s="2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spans="1:53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2"/>
      <c r="AF681" s="2"/>
      <c r="AG681" s="2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spans="1:53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2"/>
      <c r="AF682" s="2"/>
      <c r="AG682" s="2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</row>
    <row r="683" spans="1:5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2"/>
      <c r="AF683" s="2"/>
      <c r="AG683" s="2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</row>
    <row r="684" spans="1:53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2"/>
      <c r="AF684" s="2"/>
      <c r="AG684" s="2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</row>
    <row r="685" spans="1:53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2"/>
      <c r="AF685" s="2"/>
      <c r="AG685" s="2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spans="1:53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2"/>
      <c r="AF686" s="2"/>
      <c r="AG686" s="2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</row>
    <row r="687" spans="1:53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2"/>
      <c r="AF687" s="2"/>
      <c r="AG687" s="2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</row>
    <row r="688" spans="1:53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2"/>
      <c r="AF688" s="2"/>
      <c r="AG688" s="2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</row>
    <row r="689" spans="1:53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2"/>
      <c r="AF689" s="2"/>
      <c r="AG689" s="2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spans="1:53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2"/>
      <c r="AF690" s="2"/>
      <c r="AG690" s="2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spans="1:53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2"/>
      <c r="AF691" s="2"/>
      <c r="AG691" s="2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</row>
    <row r="692" spans="1:53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2"/>
      <c r="AF692" s="2"/>
      <c r="AG692" s="2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</row>
    <row r="693" spans="1:5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2"/>
      <c r="AF693" s="2"/>
      <c r="AG693" s="2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</row>
    <row r="694" spans="1:53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2"/>
      <c r="AF694" s="2"/>
      <c r="AG694" s="2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spans="1:53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2"/>
      <c r="AF695" s="2"/>
      <c r="AG695" s="2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spans="1:53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2"/>
      <c r="AF696" s="2"/>
      <c r="AG696" s="2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spans="1:53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2"/>
      <c r="AF697" s="2"/>
      <c r="AG697" s="2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spans="1:53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2"/>
      <c r="AF698" s="2"/>
      <c r="AG698" s="2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</row>
    <row r="699" spans="1:53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2"/>
      <c r="AF699" s="2"/>
      <c r="AG699" s="2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spans="1:53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2"/>
      <c r="AF700" s="2"/>
      <c r="AG700" s="2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</row>
    <row r="701" spans="1:53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2"/>
      <c r="AF701" s="2"/>
      <c r="AG701" s="2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</row>
    <row r="702" spans="1:53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2"/>
      <c r="AF702" s="2"/>
      <c r="AG702" s="2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spans="1:5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2"/>
      <c r="AF703" s="2"/>
      <c r="AG703" s="2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spans="1:53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2"/>
      <c r="AF704" s="2"/>
      <c r="AG704" s="2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spans="1:53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2"/>
      <c r="AF705" s="2"/>
      <c r="AG705" s="2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</row>
    <row r="706" spans="1:53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2"/>
      <c r="AF706" s="2"/>
      <c r="AG706" s="2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spans="1:53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2"/>
      <c r="AF707" s="2"/>
      <c r="AG707" s="2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</row>
    <row r="708" spans="1:53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2"/>
      <c r="AF708" s="2"/>
      <c r="AG708" s="2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</row>
    <row r="709" spans="1:53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2"/>
      <c r="AF709" s="2"/>
      <c r="AG709" s="2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</row>
    <row r="710" spans="1:53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2"/>
      <c r="AF710" s="2"/>
      <c r="AG710" s="2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spans="1:53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2"/>
      <c r="AF711" s="2"/>
      <c r="AG711" s="2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spans="1:53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2"/>
      <c r="AF712" s="2"/>
      <c r="AG712" s="2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spans="1:5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2"/>
      <c r="AF713" s="2"/>
      <c r="AG713" s="2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spans="1:53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2"/>
      <c r="AF714" s="2"/>
      <c r="AG714" s="2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</row>
    <row r="715" spans="1:53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2"/>
      <c r="AF715" s="2"/>
      <c r="AG715" s="2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</row>
    <row r="716" spans="1:53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2"/>
      <c r="AF716" s="2"/>
      <c r="AG716" s="2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spans="1:53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2"/>
      <c r="AF717" s="2"/>
      <c r="AG717" s="2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spans="1:53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2"/>
      <c r="AF718" s="2"/>
      <c r="AG718" s="2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</row>
    <row r="719" spans="1:53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2"/>
      <c r="AF719" s="2"/>
      <c r="AG719" s="2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spans="1:53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2"/>
      <c r="AF720" s="2"/>
      <c r="AG720" s="2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spans="1:53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2"/>
      <c r="AF721" s="2"/>
      <c r="AG721" s="2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</row>
    <row r="722" spans="1:53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2"/>
      <c r="AF722" s="2"/>
      <c r="AG722" s="2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spans="1:5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2"/>
      <c r="AF723" s="2"/>
      <c r="AG723" s="2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spans="1:53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2"/>
      <c r="AF724" s="2"/>
      <c r="AG724" s="2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spans="1:53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2"/>
      <c r="AF725" s="2"/>
      <c r="AG725" s="2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spans="1:53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2"/>
      <c r="AF726" s="2"/>
      <c r="AG726" s="2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spans="1:53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2"/>
      <c r="AF727" s="2"/>
      <c r="AG727" s="2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spans="1:53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2"/>
      <c r="AF728" s="2"/>
      <c r="AG728" s="2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</row>
    <row r="729" spans="1:53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2"/>
      <c r="AF729" s="2"/>
      <c r="AG729" s="2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</row>
    <row r="730" spans="1:53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2"/>
      <c r="AF730" s="2"/>
      <c r="AG730" s="2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</row>
    <row r="731" spans="1:53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2"/>
      <c r="AF731" s="2"/>
      <c r="AG731" s="2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</row>
    <row r="732" spans="1:53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2"/>
      <c r="AF732" s="2"/>
      <c r="AG732" s="2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</row>
    <row r="733" spans="1:5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2"/>
      <c r="AF733" s="2"/>
      <c r="AG733" s="2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</row>
    <row r="734" spans="1:53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2"/>
      <c r="AF734" s="2"/>
      <c r="AG734" s="2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</row>
    <row r="735" spans="1:53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2"/>
      <c r="AF735" s="2"/>
      <c r="AG735" s="2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</row>
    <row r="736" spans="1:53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2"/>
      <c r="AF736" s="2"/>
      <c r="AG736" s="2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</row>
    <row r="737" spans="1:53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2"/>
      <c r="AF737" s="2"/>
      <c r="AG737" s="2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</row>
    <row r="738" spans="1:53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2"/>
      <c r="AF738" s="2"/>
      <c r="AG738" s="2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</row>
    <row r="739" spans="1:53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2"/>
      <c r="AF739" s="2"/>
      <c r="AG739" s="2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</row>
    <row r="740" spans="1:53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2"/>
      <c r="AF740" s="2"/>
      <c r="AG740" s="2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</row>
    <row r="741" spans="1:53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2"/>
      <c r="AF741" s="2"/>
      <c r="AG741" s="2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</row>
    <row r="742" spans="1:53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2"/>
      <c r="AF742" s="2"/>
      <c r="AG742" s="2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</row>
    <row r="743" spans="1:5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2"/>
      <c r="AF743" s="2"/>
      <c r="AG743" s="2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</row>
    <row r="744" spans="1:53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2"/>
      <c r="AF744" s="2"/>
      <c r="AG744" s="2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</row>
    <row r="745" spans="1:53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2"/>
      <c r="AF745" s="2"/>
      <c r="AG745" s="2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</row>
    <row r="746" spans="1:53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2"/>
      <c r="AF746" s="2"/>
      <c r="AG746" s="2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</row>
    <row r="747" spans="1:53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2"/>
      <c r="AF747" s="2"/>
      <c r="AG747" s="2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</row>
    <row r="748" spans="1:53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2"/>
      <c r="AF748" s="2"/>
      <c r="AG748" s="2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</row>
    <row r="749" spans="1:53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2"/>
      <c r="AF749" s="2"/>
      <c r="AG749" s="2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</row>
    <row r="750" spans="1:53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2"/>
      <c r="AF750" s="2"/>
      <c r="AG750" s="2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</row>
    <row r="751" spans="1:53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2"/>
      <c r="AF751" s="2"/>
      <c r="AG751" s="2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</row>
    <row r="752" spans="1:53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2"/>
      <c r="AF752" s="2"/>
      <c r="AG752" s="2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</row>
    <row r="753" spans="1: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2"/>
      <c r="AF753" s="2"/>
      <c r="AG753" s="2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</row>
    <row r="754" spans="1:53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2"/>
      <c r="AF754" s="2"/>
      <c r="AG754" s="2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</row>
    <row r="755" spans="1:53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2"/>
      <c r="AF755" s="2"/>
      <c r="AG755" s="2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</row>
    <row r="756" spans="1:53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2"/>
      <c r="AF756" s="2"/>
      <c r="AG756" s="2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</row>
    <row r="757" spans="1:53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2"/>
      <c r="AF757" s="2"/>
      <c r="AG757" s="2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</row>
    <row r="758" spans="1:53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2"/>
      <c r="AF758" s="2"/>
      <c r="AG758" s="2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</row>
    <row r="759" spans="1:53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2"/>
      <c r="AF759" s="2"/>
      <c r="AG759" s="2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</row>
    <row r="760" spans="1:53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2"/>
      <c r="AF760" s="2"/>
      <c r="AG760" s="2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</row>
    <row r="761" spans="1:53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2"/>
      <c r="AF761" s="2"/>
      <c r="AG761" s="2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</row>
    <row r="762" spans="1:53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2"/>
      <c r="AF762" s="2"/>
      <c r="AG762" s="2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</row>
    <row r="763" spans="1:5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2"/>
      <c r="AF763" s="2"/>
      <c r="AG763" s="2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</row>
    <row r="764" spans="1:53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2"/>
      <c r="AF764" s="2"/>
      <c r="AG764" s="2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</row>
    <row r="765" spans="1:53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2"/>
      <c r="AF765" s="2"/>
      <c r="AG765" s="2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</row>
    <row r="766" spans="1:53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2"/>
      <c r="AF766" s="2"/>
      <c r="AG766" s="2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</row>
    <row r="767" spans="1:53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2"/>
      <c r="AF767" s="2"/>
      <c r="AG767" s="2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</row>
    <row r="768" spans="1:53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2"/>
      <c r="AF768" s="2"/>
      <c r="AG768" s="2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</row>
    <row r="769" spans="1:53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2"/>
      <c r="AF769" s="2"/>
      <c r="AG769" s="2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</row>
    <row r="770" spans="1:53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2"/>
      <c r="AF770" s="2"/>
      <c r="AG770" s="2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</row>
    <row r="771" spans="1:53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2"/>
      <c r="AF771" s="2"/>
      <c r="AG771" s="2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</row>
    <row r="772" spans="1:53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2"/>
      <c r="AF772" s="2"/>
      <c r="AG772" s="2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</row>
    <row r="773" spans="1:5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2"/>
      <c r="AF773" s="2"/>
      <c r="AG773" s="2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</row>
    <row r="774" spans="1:53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2"/>
      <c r="AF774" s="2"/>
      <c r="AG774" s="2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</row>
    <row r="775" spans="1:53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2"/>
      <c r="AF775" s="2"/>
      <c r="AG775" s="2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</row>
    <row r="776" spans="1:53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2"/>
      <c r="AF776" s="2"/>
      <c r="AG776" s="2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</row>
    <row r="777" spans="1:53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2"/>
      <c r="AF777" s="2"/>
      <c r="AG777" s="2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</row>
    <row r="778" spans="1:53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2"/>
      <c r="AF778" s="2"/>
      <c r="AG778" s="2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</row>
    <row r="779" spans="1:53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2"/>
      <c r="AF779" s="2"/>
      <c r="AG779" s="2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</row>
    <row r="780" spans="1:53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2"/>
      <c r="AF780" s="2"/>
      <c r="AG780" s="2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</row>
    <row r="781" spans="1:53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2"/>
      <c r="AF781" s="2"/>
      <c r="AG781" s="2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</row>
    <row r="782" spans="1:53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2"/>
      <c r="AF782" s="2"/>
      <c r="AG782" s="2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</row>
    <row r="783" spans="1:5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2"/>
      <c r="AF783" s="2"/>
      <c r="AG783" s="2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</row>
    <row r="784" spans="1:53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2"/>
      <c r="AF784" s="2"/>
      <c r="AG784" s="2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</row>
    <row r="785" spans="1:53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2"/>
      <c r="AF785" s="2"/>
      <c r="AG785" s="2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</row>
    <row r="786" spans="1:53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2"/>
      <c r="AF786" s="2"/>
      <c r="AG786" s="2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</row>
    <row r="787" spans="1:53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2"/>
      <c r="AF787" s="2"/>
      <c r="AG787" s="2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</row>
    <row r="788" spans="1:53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2"/>
      <c r="AF788" s="2"/>
      <c r="AG788" s="2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</row>
    <row r="789" spans="1:53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2"/>
      <c r="AF789" s="2"/>
      <c r="AG789" s="2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</row>
    <row r="790" spans="1:53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2"/>
      <c r="AF790" s="2"/>
      <c r="AG790" s="2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</row>
    <row r="791" spans="1:53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2"/>
      <c r="AF791" s="2"/>
      <c r="AG791" s="2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</row>
    <row r="792" spans="1:53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2"/>
      <c r="AF792" s="2"/>
      <c r="AG792" s="2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</row>
    <row r="793" spans="1:5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2"/>
      <c r="AF793" s="2"/>
      <c r="AG793" s="2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</row>
    <row r="794" spans="1:53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2"/>
      <c r="AF794" s="2"/>
      <c r="AG794" s="2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</row>
    <row r="795" spans="1:53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2"/>
      <c r="AF795" s="2"/>
      <c r="AG795" s="2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</row>
    <row r="796" spans="1:53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2"/>
      <c r="AF796" s="2"/>
      <c r="AG796" s="2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</row>
    <row r="797" spans="1:53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2"/>
      <c r="AF797" s="2"/>
      <c r="AG797" s="2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</row>
    <row r="798" spans="1:53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2"/>
      <c r="AF798" s="2"/>
      <c r="AG798" s="2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</row>
    <row r="799" spans="1:53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2"/>
      <c r="AF799" s="2"/>
      <c r="AG799" s="2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</row>
    <row r="800" spans="1:53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2"/>
      <c r="AF800" s="2"/>
      <c r="AG800" s="2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</row>
    <row r="801" spans="1:53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2"/>
      <c r="AF801" s="2"/>
      <c r="AG801" s="2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</row>
    <row r="802" spans="1:53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2"/>
      <c r="AF802" s="2"/>
      <c r="AG802" s="2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</row>
    <row r="803" spans="1:5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2"/>
      <c r="AF803" s="2"/>
      <c r="AG803" s="2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</row>
    <row r="804" spans="1:53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2"/>
      <c r="AF804" s="2"/>
      <c r="AG804" s="2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</row>
    <row r="805" spans="1:53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2"/>
      <c r="AF805" s="2"/>
      <c r="AG805" s="2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</row>
    <row r="806" spans="1:53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2"/>
      <c r="AF806" s="2"/>
      <c r="AG806" s="2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</row>
    <row r="807" spans="1:53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2"/>
      <c r="AF807" s="2"/>
      <c r="AG807" s="2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</row>
    <row r="808" spans="1:53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2"/>
      <c r="AF808" s="2"/>
      <c r="AG808" s="2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</row>
    <row r="809" spans="1:53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2"/>
      <c r="AF809" s="2"/>
      <c r="AG809" s="2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</row>
    <row r="810" spans="1:53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2"/>
      <c r="AF810" s="2"/>
      <c r="AG810" s="2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</row>
    <row r="811" spans="1:53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2"/>
      <c r="AF811" s="2"/>
      <c r="AG811" s="2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</row>
    <row r="812" spans="1:53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2"/>
      <c r="AF812" s="2"/>
      <c r="AG812" s="2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</row>
    <row r="813" spans="1:5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2"/>
      <c r="AF813" s="2"/>
      <c r="AG813" s="2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</row>
    <row r="814" spans="1:53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2"/>
      <c r="AF814" s="2"/>
      <c r="AG814" s="2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</row>
    <row r="815" spans="1:53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2"/>
      <c r="AF815" s="2"/>
      <c r="AG815" s="2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</row>
    <row r="816" spans="1:53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2"/>
      <c r="AF816" s="2"/>
      <c r="AG816" s="2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</row>
    <row r="817" spans="1:53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2"/>
      <c r="AF817" s="2"/>
      <c r="AG817" s="2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</row>
    <row r="818" spans="1:53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2"/>
      <c r="AF818" s="2"/>
      <c r="AG818" s="2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</row>
    <row r="819" spans="1:53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2"/>
      <c r="AF819" s="2"/>
      <c r="AG819" s="2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</row>
    <row r="820" spans="1:53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2"/>
      <c r="AF820" s="2"/>
      <c r="AG820" s="2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</row>
    <row r="821" spans="1:53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2"/>
      <c r="AF821" s="2"/>
      <c r="AG821" s="2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</row>
    <row r="822" spans="1:53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2"/>
      <c r="AF822" s="2"/>
      <c r="AG822" s="2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</row>
    <row r="823" spans="1:5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2"/>
      <c r="AF823" s="2"/>
      <c r="AG823" s="2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</row>
    <row r="824" spans="1:53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2"/>
      <c r="AF824" s="2"/>
      <c r="AG824" s="2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</row>
    <row r="825" spans="1:53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2"/>
      <c r="AF825" s="2"/>
      <c r="AG825" s="2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</row>
    <row r="826" spans="1:53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2"/>
      <c r="AF826" s="2"/>
      <c r="AG826" s="2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</row>
    <row r="827" spans="1:53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2"/>
      <c r="AF827" s="2"/>
      <c r="AG827" s="2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</row>
    <row r="828" spans="1:53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2"/>
      <c r="AF828" s="2"/>
      <c r="AG828" s="2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</row>
    <row r="829" spans="1:53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2"/>
      <c r="AF829" s="2"/>
      <c r="AG829" s="2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</row>
    <row r="830" spans="1:53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2"/>
      <c r="AF830" s="2"/>
      <c r="AG830" s="2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</row>
    <row r="831" spans="1:53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2"/>
      <c r="AF831" s="2"/>
      <c r="AG831" s="2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</row>
    <row r="832" spans="1:53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2"/>
      <c r="AF832" s="2"/>
      <c r="AG832" s="2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</row>
    <row r="833" spans="1:5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2"/>
      <c r="AF833" s="2"/>
      <c r="AG833" s="2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</row>
    <row r="834" spans="1:53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2"/>
      <c r="AF834" s="2"/>
      <c r="AG834" s="2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</row>
    <row r="835" spans="1:53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2"/>
      <c r="AF835" s="2"/>
      <c r="AG835" s="2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</row>
    <row r="836" spans="1:53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2"/>
      <c r="AF836" s="2"/>
      <c r="AG836" s="2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</row>
    <row r="837" spans="1:53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2"/>
      <c r="AF837" s="2"/>
      <c r="AG837" s="2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</row>
    <row r="838" spans="1:53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2"/>
      <c r="AF838" s="2"/>
      <c r="AG838" s="2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</row>
    <row r="839" spans="1:53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2"/>
      <c r="AF839" s="2"/>
      <c r="AG839" s="2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</row>
    <row r="840" spans="1:53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2"/>
      <c r="AF840" s="2"/>
      <c r="AG840" s="2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</row>
    <row r="841" spans="1:53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2"/>
      <c r="AF841" s="2"/>
      <c r="AG841" s="2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</row>
    <row r="842" spans="1:53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2"/>
      <c r="AF842" s="2"/>
      <c r="AG842" s="2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</row>
    <row r="843" spans="1:5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2"/>
      <c r="AF843" s="2"/>
      <c r="AG843" s="2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</row>
    <row r="844" spans="1:53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2"/>
      <c r="AF844" s="2"/>
      <c r="AG844" s="2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</row>
    <row r="845" spans="1:53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2"/>
      <c r="AF845" s="2"/>
      <c r="AG845" s="2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</row>
    <row r="846" spans="1:53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2"/>
      <c r="AF846" s="2"/>
      <c r="AG846" s="2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</row>
    <row r="847" spans="1:53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2"/>
      <c r="AF847" s="2"/>
      <c r="AG847" s="2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</row>
    <row r="848" spans="1:53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2"/>
      <c r="AF848" s="2"/>
      <c r="AG848" s="2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</row>
    <row r="849" spans="1:53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2"/>
      <c r="AF849" s="2"/>
      <c r="AG849" s="2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</row>
    <row r="850" spans="1:53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2"/>
      <c r="AF850" s="2"/>
      <c r="AG850" s="2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</row>
    <row r="851" spans="1:53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2"/>
      <c r="AF851" s="2"/>
      <c r="AG851" s="2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</row>
    <row r="852" spans="1:53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2"/>
      <c r="AF852" s="2"/>
      <c r="AG852" s="2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</row>
    <row r="853" spans="1: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2"/>
      <c r="AF853" s="2"/>
      <c r="AG853" s="2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</row>
    <row r="854" spans="1:53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2"/>
      <c r="AF854" s="2"/>
      <c r="AG854" s="2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</row>
    <row r="855" spans="1:53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2"/>
      <c r="AF855" s="2"/>
      <c r="AG855" s="2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</row>
    <row r="856" spans="1:53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2"/>
      <c r="AF856" s="2"/>
      <c r="AG856" s="2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</row>
    <row r="857" spans="1:53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2"/>
      <c r="AF857" s="2"/>
      <c r="AG857" s="2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</row>
    <row r="858" spans="1:53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2"/>
      <c r="AF858" s="2"/>
      <c r="AG858" s="2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</row>
    <row r="859" spans="1:53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2"/>
      <c r="AF859" s="2"/>
      <c r="AG859" s="2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</row>
    <row r="860" spans="1:53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2"/>
      <c r="AF860" s="2"/>
      <c r="AG860" s="2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</row>
    <row r="861" spans="1:53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2"/>
      <c r="AF861" s="2"/>
      <c r="AG861" s="2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</row>
    <row r="862" spans="1:53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2"/>
      <c r="AF862" s="2"/>
      <c r="AG862" s="2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</row>
    <row r="863" spans="1:5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2"/>
      <c r="AF863" s="2"/>
      <c r="AG863" s="2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</row>
    <row r="864" spans="1:53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2"/>
      <c r="AF864" s="2"/>
      <c r="AG864" s="2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</row>
    <row r="865" spans="1:53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2"/>
      <c r="AF865" s="2"/>
      <c r="AG865" s="2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</row>
    <row r="866" spans="1:53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2"/>
      <c r="AF866" s="2"/>
      <c r="AG866" s="2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</row>
    <row r="867" spans="1:53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2"/>
      <c r="AF867" s="2"/>
      <c r="AG867" s="2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</row>
    <row r="868" spans="1:53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2"/>
      <c r="AF868" s="2"/>
      <c r="AG868" s="2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</row>
    <row r="869" spans="1:53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2"/>
      <c r="AF869" s="2"/>
      <c r="AG869" s="2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</row>
    <row r="870" spans="1:53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2"/>
      <c r="AF870" s="2"/>
      <c r="AG870" s="2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</row>
    <row r="871" spans="1:53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2"/>
      <c r="AF871" s="2"/>
      <c r="AG871" s="2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</row>
    <row r="872" spans="1:53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2"/>
      <c r="AF872" s="2"/>
      <c r="AG872" s="2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</row>
    <row r="873" spans="1:5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2"/>
      <c r="AF873" s="2"/>
      <c r="AG873" s="2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</row>
    <row r="874" spans="1:53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2"/>
      <c r="AF874" s="2"/>
      <c r="AG874" s="2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</row>
    <row r="875" spans="1:53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2"/>
      <c r="AF875" s="2"/>
      <c r="AG875" s="2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</row>
    <row r="876" spans="1:53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2"/>
      <c r="AF876" s="2"/>
      <c r="AG876" s="2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</row>
    <row r="877" spans="1:53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2"/>
      <c r="AF877" s="2"/>
      <c r="AG877" s="2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</row>
    <row r="878" spans="1:53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2"/>
      <c r="AF878" s="2"/>
      <c r="AG878" s="2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</row>
    <row r="879" spans="1:53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2"/>
      <c r="AF879" s="2"/>
      <c r="AG879" s="2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</row>
    <row r="880" spans="1:53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2"/>
      <c r="AF880" s="2"/>
      <c r="AG880" s="2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</row>
    <row r="881" spans="1:53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2"/>
      <c r="AF881" s="2"/>
      <c r="AG881" s="2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</row>
    <row r="882" spans="1:53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2"/>
      <c r="AF882" s="2"/>
      <c r="AG882" s="2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</row>
    <row r="883" spans="1:5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2"/>
      <c r="AF883" s="2"/>
      <c r="AG883" s="2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</row>
    <row r="884" spans="1:53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2"/>
      <c r="AF884" s="2"/>
      <c r="AG884" s="2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</row>
    <row r="885" spans="1:53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2"/>
      <c r="AF885" s="2"/>
      <c r="AG885" s="2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</row>
    <row r="886" spans="1:53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2"/>
      <c r="AF886" s="2"/>
      <c r="AG886" s="2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</row>
    <row r="887" spans="1:53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2"/>
      <c r="AF887" s="2"/>
      <c r="AG887" s="2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</row>
    <row r="888" spans="1:53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2"/>
      <c r="AF888" s="2"/>
      <c r="AG888" s="2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</row>
    <row r="889" spans="1:53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2"/>
      <c r="AF889" s="2"/>
      <c r="AG889" s="2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</row>
    <row r="890" spans="1:53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2"/>
      <c r="AF890" s="2"/>
      <c r="AG890" s="2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</row>
    <row r="891" spans="1:53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2"/>
      <c r="AF891" s="2"/>
      <c r="AG891" s="2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</row>
    <row r="892" spans="1:53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2"/>
      <c r="AF892" s="2"/>
      <c r="AG892" s="2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</row>
    <row r="893" spans="1:5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2"/>
      <c r="AF893" s="2"/>
      <c r="AG893" s="2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</row>
    <row r="894" spans="1:53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2"/>
      <c r="AF894" s="2"/>
      <c r="AG894" s="2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</row>
    <row r="895" spans="1:53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2"/>
      <c r="AF895" s="2"/>
      <c r="AG895" s="2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</row>
    <row r="896" spans="1:53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2"/>
      <c r="AF896" s="2"/>
      <c r="AG896" s="2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</row>
    <row r="897" spans="1:53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2"/>
      <c r="AF897" s="2"/>
      <c r="AG897" s="2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</row>
    <row r="898" spans="1:53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2"/>
      <c r="AF898" s="2"/>
      <c r="AG898" s="2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</row>
    <row r="899" spans="1:53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2"/>
      <c r="AF899" s="2"/>
      <c r="AG899" s="2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</row>
    <row r="900" spans="1:53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2"/>
      <c r="AF900" s="2"/>
      <c r="AG900" s="2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</row>
    <row r="901" spans="1:53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2"/>
      <c r="AF901" s="2"/>
      <c r="AG901" s="2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</row>
    <row r="902" spans="1:53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2"/>
      <c r="AF902" s="2"/>
      <c r="AG902" s="2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</row>
    <row r="903" spans="1:5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2"/>
      <c r="AF903" s="2"/>
      <c r="AG903" s="2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</row>
    <row r="904" spans="1:53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2"/>
      <c r="AF904" s="2"/>
      <c r="AG904" s="2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</row>
    <row r="905" spans="1:53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2"/>
      <c r="AF905" s="2"/>
      <c r="AG905" s="2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</row>
    <row r="906" spans="1:53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2"/>
      <c r="AF906" s="2"/>
      <c r="AG906" s="2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</row>
    <row r="907" spans="1:53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2"/>
      <c r="AF907" s="2"/>
      <c r="AG907" s="2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</row>
    <row r="908" spans="1:53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2"/>
      <c r="AF908" s="2"/>
      <c r="AG908" s="2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</row>
    <row r="909" spans="1:53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2"/>
      <c r="AF909" s="2"/>
      <c r="AG909" s="2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</row>
    <row r="910" spans="1:53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2"/>
      <c r="AF910" s="2"/>
      <c r="AG910" s="2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</row>
    <row r="911" spans="1:53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2"/>
      <c r="AF911" s="2"/>
      <c r="AG911" s="2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</row>
    <row r="912" spans="1:53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2"/>
      <c r="AF912" s="2"/>
      <c r="AG912" s="2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</row>
    <row r="913" spans="1:5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2"/>
      <c r="AF913" s="2"/>
      <c r="AG913" s="2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</row>
    <row r="914" spans="1:53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2"/>
      <c r="AF914" s="2"/>
      <c r="AG914" s="2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</row>
    <row r="915" spans="1:53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2"/>
      <c r="AF915" s="2"/>
      <c r="AG915" s="2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</row>
    <row r="916" spans="1:53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2"/>
      <c r="AF916" s="2"/>
      <c r="AG916" s="2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</row>
    <row r="917" spans="1:53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2"/>
      <c r="AF917" s="2"/>
      <c r="AG917" s="2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</row>
    <row r="918" spans="1:53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2"/>
      <c r="AF918" s="2"/>
      <c r="AG918" s="2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</row>
    <row r="919" spans="1:53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2"/>
      <c r="AF919" s="2"/>
      <c r="AG919" s="2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</row>
    <row r="920" spans="1:53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2"/>
      <c r="AF920" s="2"/>
      <c r="AG920" s="2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</row>
    <row r="921" spans="1:53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2"/>
      <c r="AF921" s="2"/>
      <c r="AG921" s="2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</row>
    <row r="922" spans="1:53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2"/>
      <c r="AF922" s="2"/>
      <c r="AG922" s="2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</row>
    <row r="923" spans="1:5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2"/>
      <c r="AF923" s="2"/>
      <c r="AG923" s="2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</row>
    <row r="924" spans="1:53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2"/>
      <c r="AF924" s="2"/>
      <c r="AG924" s="2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</row>
    <row r="925" spans="1:53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2"/>
      <c r="AF925" s="2"/>
      <c r="AG925" s="2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</row>
    <row r="926" spans="1:53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2"/>
      <c r="AF926" s="2"/>
      <c r="AG926" s="2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</row>
    <row r="927" spans="1:53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2"/>
      <c r="AF927" s="2"/>
      <c r="AG927" s="2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</row>
    <row r="928" spans="1:53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2"/>
      <c r="AF928" s="2"/>
      <c r="AG928" s="2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</row>
    <row r="929" spans="1:53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2"/>
      <c r="AF929" s="2"/>
      <c r="AG929" s="2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</row>
    <row r="930" spans="1:53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2"/>
      <c r="AF930" s="2"/>
      <c r="AG930" s="2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</row>
    <row r="931" spans="1:53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2"/>
      <c r="AF931" s="2"/>
      <c r="AG931" s="2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</row>
    <row r="932" spans="1:53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2"/>
      <c r="AF932" s="2"/>
      <c r="AG932" s="2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</row>
    <row r="933" spans="1:5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2"/>
      <c r="AF933" s="2"/>
      <c r="AG933" s="2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</row>
    <row r="934" spans="1:53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2"/>
      <c r="AF934" s="2"/>
      <c r="AG934" s="2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</row>
    <row r="935" spans="1:53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2"/>
      <c r="AF935" s="2"/>
      <c r="AG935" s="2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</row>
    <row r="936" spans="1:53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2"/>
      <c r="AF936" s="2"/>
      <c r="AG936" s="2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</row>
    <row r="937" spans="1:53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2"/>
      <c r="AF937" s="2"/>
      <c r="AG937" s="2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</row>
    <row r="938" spans="1:53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2"/>
      <c r="AF938" s="2"/>
      <c r="AG938" s="2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</row>
    <row r="939" spans="1:53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2"/>
      <c r="AF939" s="2"/>
      <c r="AG939" s="2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</row>
    <row r="940" spans="1:53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2"/>
      <c r="AF940" s="2"/>
      <c r="AG940" s="2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</row>
    <row r="941" spans="1:53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2"/>
      <c r="AF941" s="2"/>
      <c r="AG941" s="2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</row>
    <row r="942" spans="1:53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2"/>
      <c r="AF942" s="2"/>
      <c r="AG942" s="2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</row>
    <row r="943" spans="1:5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2"/>
      <c r="AF943" s="2"/>
      <c r="AG943" s="2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</row>
    <row r="944" spans="1:53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2"/>
      <c r="AF944" s="2"/>
      <c r="AG944" s="2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</row>
    <row r="945" spans="1:53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2"/>
      <c r="AF945" s="2"/>
      <c r="AG945" s="2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</row>
    <row r="946" spans="1:53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2"/>
      <c r="AF946" s="2"/>
      <c r="AG946" s="2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</row>
    <row r="947" spans="1:53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2"/>
      <c r="AF947" s="2"/>
      <c r="AG947" s="2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</row>
    <row r="948" spans="1:53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2"/>
      <c r="AF948" s="2"/>
      <c r="AG948" s="2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</row>
    <row r="949" spans="1:53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2"/>
      <c r="AF949" s="2"/>
      <c r="AG949" s="2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</row>
    <row r="950" spans="1:53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2"/>
      <c r="AF950" s="2"/>
      <c r="AG950" s="2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</row>
    <row r="951" spans="1:53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2"/>
      <c r="AF951" s="2"/>
      <c r="AG951" s="2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</row>
    <row r="952" spans="1:53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2"/>
      <c r="AF952" s="2"/>
      <c r="AG952" s="2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</row>
    <row r="953" spans="1: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2"/>
      <c r="AF953" s="2"/>
      <c r="AG953" s="2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</row>
    <row r="954" spans="1:53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2"/>
      <c r="AF954" s="2"/>
      <c r="AG954" s="2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</row>
    <row r="955" spans="1:53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2"/>
      <c r="AF955" s="2"/>
      <c r="AG955" s="2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</row>
    <row r="956" spans="1:53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2"/>
      <c r="AF956" s="2"/>
      <c r="AG956" s="2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</row>
    <row r="957" spans="1:53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2"/>
      <c r="AF957" s="2"/>
      <c r="AG957" s="2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</row>
    <row r="958" spans="1:53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2"/>
      <c r="AF958" s="2"/>
      <c r="AG958" s="2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</row>
    <row r="959" spans="1:53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2"/>
      <c r="AF959" s="2"/>
      <c r="AG959" s="2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</row>
    <row r="960" spans="1:53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2"/>
      <c r="AF960" s="2"/>
      <c r="AG960" s="2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</row>
    <row r="961" spans="1:53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2"/>
      <c r="AF961" s="2"/>
      <c r="AG961" s="2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</row>
    <row r="962" spans="1:53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2"/>
      <c r="AF962" s="2"/>
      <c r="AG962" s="2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</row>
    <row r="963" spans="1:5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2"/>
      <c r="AF963" s="2"/>
      <c r="AG963" s="2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</row>
    <row r="964" spans="1:53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2"/>
      <c r="AF964" s="2"/>
      <c r="AG964" s="2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</row>
    <row r="965" spans="1:53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2"/>
      <c r="AF965" s="2"/>
      <c r="AG965" s="2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</row>
    <row r="966" spans="1:53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2"/>
      <c r="AF966" s="2"/>
      <c r="AG966" s="2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</row>
    <row r="967" spans="1:53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2"/>
      <c r="AF967" s="2"/>
      <c r="AG967" s="2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</row>
    <row r="968" spans="1:53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2"/>
      <c r="AF968" s="2"/>
      <c r="AG968" s="2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</row>
    <row r="969" spans="1:53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2"/>
      <c r="AF969" s="2"/>
      <c r="AG969" s="2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</row>
    <row r="970" spans="1:53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2"/>
      <c r="AF970" s="2"/>
      <c r="AG970" s="2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</row>
    <row r="971" spans="1:53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2"/>
      <c r="AF971" s="2"/>
      <c r="AG971" s="2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</row>
    <row r="972" spans="1:53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2"/>
      <c r="AF972" s="2"/>
      <c r="AG972" s="2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</row>
    <row r="973" spans="1:5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2"/>
      <c r="AF973" s="2"/>
      <c r="AG973" s="2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</row>
    <row r="974" spans="1:53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2"/>
      <c r="AF974" s="2"/>
      <c r="AG974" s="2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</row>
    <row r="975" spans="1:53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2"/>
      <c r="AF975" s="2"/>
      <c r="AG975" s="2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</row>
    <row r="976" spans="1:53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2"/>
      <c r="AF976" s="2"/>
      <c r="AG976" s="2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</row>
    <row r="977" spans="1:53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2"/>
      <c r="AF977" s="2"/>
      <c r="AG977" s="2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</row>
    <row r="978" spans="1:53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2"/>
      <c r="AF978" s="2"/>
      <c r="AG978" s="2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</row>
    <row r="979" spans="1:53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2"/>
      <c r="AF979" s="2"/>
      <c r="AG979" s="2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</row>
    <row r="980" spans="1:53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2"/>
      <c r="AF980" s="2"/>
      <c r="AG980" s="2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</row>
    <row r="981" spans="1:53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2"/>
      <c r="AF981" s="2"/>
      <c r="AG981" s="2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</row>
    <row r="982" spans="1:53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2"/>
      <c r="AF982" s="2"/>
      <c r="AG982" s="2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</row>
    <row r="983" spans="1:5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2"/>
      <c r="AF983" s="2"/>
      <c r="AG983" s="2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</row>
    <row r="984" spans="1:53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2"/>
      <c r="AF984" s="2"/>
      <c r="AG984" s="2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</row>
    <row r="985" spans="1:53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2"/>
      <c r="AF985" s="2"/>
      <c r="AG985" s="2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</row>
    <row r="986" spans="1:53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2"/>
      <c r="AF986" s="2"/>
      <c r="AG986" s="2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</row>
    <row r="987" spans="1:53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2"/>
      <c r="AF987" s="2"/>
      <c r="AG987" s="2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</row>
    <row r="988" spans="1:53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2"/>
      <c r="AF988" s="2"/>
      <c r="AG988" s="2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</row>
    <row r="989" spans="1:53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2"/>
      <c r="AF989" s="2"/>
      <c r="AG989" s="2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</row>
    <row r="990" spans="1:53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2"/>
      <c r="AF990" s="2"/>
      <c r="AG990" s="2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</row>
    <row r="991" spans="1:53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2"/>
      <c r="AF991" s="2"/>
      <c r="AG991" s="2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</row>
    <row r="992" spans="1:53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2"/>
      <c r="AF992" s="2"/>
      <c r="AG992" s="2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</row>
    <row r="993" spans="1:5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2"/>
      <c r="AF993" s="2"/>
      <c r="AG993" s="2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</row>
    <row r="994" spans="1:53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2"/>
      <c r="AF994" s="2"/>
      <c r="AG994" s="2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</row>
    <row r="995" spans="1:53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2"/>
      <c r="AF995" s="2"/>
      <c r="AG995" s="2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</row>
    <row r="996" spans="1:53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2"/>
      <c r="AF996" s="2"/>
      <c r="AG996" s="2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</row>
    <row r="997" spans="1:53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2"/>
      <c r="AF997" s="2"/>
      <c r="AG997" s="2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</row>
    <row r="998" spans="1:53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2"/>
      <c r="AF998" s="2"/>
      <c r="AG998" s="2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</row>
    <row r="999" spans="1:53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2"/>
      <c r="AF999" s="2"/>
      <c r="AG999" s="2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</row>
    <row r="1000" spans="1:53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2"/>
      <c r="AF1000" s="2"/>
      <c r="AG1000" s="2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</row>
  </sheetData>
  <mergeCells count="19">
    <mergeCell ref="B1:AD1"/>
    <mergeCell ref="B2:E2"/>
    <mergeCell ref="G2:J2"/>
    <mergeCell ref="L2:O2"/>
    <mergeCell ref="Q2:T2"/>
    <mergeCell ref="V2:Y2"/>
    <mergeCell ref="AA2:AD2"/>
    <mergeCell ref="AA23:AD23"/>
    <mergeCell ref="B42:E42"/>
    <mergeCell ref="AA42:AD42"/>
    <mergeCell ref="G42:J42"/>
    <mergeCell ref="L42:O42"/>
    <mergeCell ref="Q42:T42"/>
    <mergeCell ref="V42:Y42"/>
    <mergeCell ref="B23:E23"/>
    <mergeCell ref="G23:J23"/>
    <mergeCell ref="L23:O23"/>
    <mergeCell ref="Q23:T23"/>
    <mergeCell ref="V23:Y23"/>
  </mergeCells>
  <phoneticPr fontId="9" type="noConversion"/>
  <pageMargins left="0.39347222447395325" right="0.39347222447395325" top="0.59041666984558105" bottom="0.3934722244739532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명렬표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김종호</cp:lastModifiedBy>
  <dcterms:created xsi:type="dcterms:W3CDTF">2026-02-22T10:19:40Z</dcterms:created>
  <dcterms:modified xsi:type="dcterms:W3CDTF">2026-08-26T00:10:08Z</dcterms:modified>
</cp:coreProperties>
</file>